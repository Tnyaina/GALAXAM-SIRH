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on Agile info" sheetId="1" r:id="rId5"/>
  </sheets>
  <definedNames/>
  <calcPr/>
</workbook>
</file>

<file path=xl/sharedStrings.xml><?xml version="1.0" encoding="utf-8"?>
<sst xmlns="http://schemas.openxmlformats.org/spreadsheetml/2006/main" count="48" uniqueCount="43">
  <si>
    <t>Tâches</t>
  </si>
  <si>
    <t>Estimation</t>
  </si>
  <si>
    <t>Analyse, Modélisation &amp; Base de Données</t>
  </si>
  <si>
    <t>Analyse des fichiers Excel existants et extraction des règles métier (IRSA, ISI, cotisations)</t>
  </si>
  <si>
    <t xml:space="preserve">SPRINT I </t>
  </si>
  <si>
    <t>Conception du Modèle Conceptuel de Données (MCD/MLD PostgreSQL)</t>
  </si>
  <si>
    <t>Modélisation multi-filiales (GALAXAM, Vina sy Asa)</t>
  </si>
  <si>
    <t xml:space="preserve">Création des tables de paramétrage </t>
  </si>
  <si>
    <t>Initialisation du projet (Spring Boot, React, PostgreSQL, Docker Compose)</t>
  </si>
  <si>
    <t>SOUS TOTAL</t>
  </si>
  <si>
    <t>Sécurité (RBAC) &amp; Module RH</t>
  </si>
  <si>
    <t>Authentification sécurisée (JWT/BCrypt) et gestion des rôles (RBAC : DAF, Agent)</t>
  </si>
  <si>
    <t>Saisie et gestion de la fiche employé centralisée (Matricule, CIN, Urgences, Catégorie)</t>
  </si>
  <si>
    <t>Gestion des contrats (CDI, CDD, Temporaires, Consultants) et suivi des périodes d'essai</t>
  </si>
  <si>
    <t xml:space="preserve">SPRINT II </t>
  </si>
  <si>
    <t>Historique des mouvements de personnel (changement de poste, filiale, motifs de départ)</t>
  </si>
  <si>
    <t>Module Pointage &amp; Suivi des Présences</t>
  </si>
  <si>
    <t>Interface de saisie et correction manuelle des pointages quotidiens (Arrivée, Départ, Pauses)</t>
  </si>
  <si>
    <t>Moteur de calcul du temps de présence quotidien/hebdomadaire (Base 40h)</t>
  </si>
  <si>
    <t>Gestion des heures spécifiques et saisie pour le personnel temporaire (Taux horaire)</t>
  </si>
  <si>
    <t>SPRINT III</t>
  </si>
  <si>
    <t>Validation des anomalies et confirmation DAF</t>
  </si>
  <si>
    <t>Congés, Absences &amp; Heures Supplémentaires</t>
  </si>
  <si>
    <t>Gestion des soldes de congés (2.5 jours/mois) et suivi du cumul</t>
  </si>
  <si>
    <t>SPRINT IV</t>
  </si>
  <si>
    <t>Interface de saisie/validation des congés (Payés, Maladie, Sans solde, Permissions)</t>
  </si>
  <si>
    <t>Moteur de calcul des Heures Supplémentaires (30% pour 41-48h, 50% pour &gt;48h)</t>
  </si>
  <si>
    <t>Majorations spéciales (Nuit 30%, Dimanche 40%, Fériés 100%) et déduction des absences</t>
  </si>
  <si>
    <t>Moteur de Paie Duale &amp; Bulletins PDF (MODULE PAIE)</t>
  </si>
  <si>
    <t>Moteur de calcul paie Régime Général (Brut, CNAPS 1%, OSTIE/OMSI, IRSA, Net imposable)</t>
  </si>
  <si>
    <t>Moteur de calcul paie Régime Spécifique (ISI 5% Consultants &amp; Temporaires)</t>
  </si>
  <si>
    <t xml:space="preserve">SPRINT V </t>
  </si>
  <si>
    <t>Gestion des variables de paie (Avances, Call personnel, Repas, Primes, Indemnités)</t>
  </si>
  <si>
    <t>Génération automatique des bulletins de paie individuels au format PDF</t>
  </si>
  <si>
    <t xml:space="preserve">Exportation de l'État de Paie mensuel récapitulatif par filiale </t>
  </si>
  <si>
    <t xml:space="preserve">Tests, Déploiement &amp; Livrables </t>
  </si>
  <si>
    <t>Tests de validation des calculs avec la DAF</t>
  </si>
  <si>
    <t>SPRINT VI</t>
  </si>
  <si>
    <t xml:space="preserve">Vérification des fonctionnalités demander </t>
  </si>
  <si>
    <t>Optimisation Front-end</t>
  </si>
  <si>
    <t>Conteneurisation Docker complète et déploiement local</t>
  </si>
  <si>
    <t>Rédaction du Guide Utilisateur et du Manuel Technique d'exploitation</t>
  </si>
  <si>
    <t>SOMME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</si>
</sst>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Font="1"/>
    <xf borderId="0" fillId="3" fontId="1" numFmtId="0" xfId="0" applyAlignment="1" applyFill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89.75"/>
    <col customWidth="1" min="3" max="3" width="8.75"/>
  </cols>
  <sheetData>
    <row r="1">
      <c r="A1" s="1"/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2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1" t="s">
        <v>3</v>
      </c>
      <c r="C3" s="6">
        <v>3.0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4</v>
      </c>
      <c r="B4" s="1" t="s">
        <v>5</v>
      </c>
      <c r="C4" s="6">
        <v>4.0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8" t="s">
        <v>6</v>
      </c>
      <c r="C5" s="6">
        <v>2.0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8" t="s">
        <v>7</v>
      </c>
      <c r="C6" s="6">
        <v>2.0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1" t="s">
        <v>8</v>
      </c>
      <c r="C7" s="6">
        <v>3.0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1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9" t="s">
        <v>9</v>
      </c>
      <c r="C9" s="1">
        <f>SUM(C3:C8)</f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0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8" t="s">
        <v>11</v>
      </c>
      <c r="C12" s="11">
        <v>1.0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8" t="s">
        <v>12</v>
      </c>
      <c r="C13" s="11">
        <v>2.0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1" t="s">
        <v>13</v>
      </c>
      <c r="C14" s="11">
        <v>3.0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14</v>
      </c>
      <c r="B15" s="1" t="s">
        <v>15</v>
      </c>
      <c r="C15" s="6">
        <v>2.0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1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1" t="s">
        <v>9</v>
      </c>
      <c r="C18" s="6">
        <f>SUM(C12:C16)</f>
        <v>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5" t="s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1" t="s">
        <v>17</v>
      </c>
      <c r="C21" s="6">
        <v>4.0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1" t="s">
        <v>18</v>
      </c>
      <c r="C22" s="6">
        <v>3.0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1" t="s">
        <v>19</v>
      </c>
      <c r="C23" s="6">
        <v>2.0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20</v>
      </c>
      <c r="B24" s="1" t="s">
        <v>21</v>
      </c>
      <c r="C24" s="6">
        <v>1.0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1"/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1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1"/>
      <c r="C27" s="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1" t="s">
        <v>9</v>
      </c>
      <c r="C28" s="6">
        <f>SUM(C21:C27)</f>
        <v>10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/>
      <c r="B30" s="5" t="s">
        <v>22</v>
      </c>
      <c r="C30" s="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1" t="s">
        <v>23</v>
      </c>
      <c r="C31" s="11">
        <v>3.0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24</v>
      </c>
      <c r="B32" s="1" t="s">
        <v>25</v>
      </c>
      <c r="C32" s="6">
        <v>2.0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1" t="s">
        <v>26</v>
      </c>
      <c r="C33" s="6">
        <v>3.0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1" t="s">
        <v>27</v>
      </c>
      <c r="C34" s="6">
        <v>3.0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1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12" t="s">
        <v>9</v>
      </c>
      <c r="C36" s="11">
        <f>SUM(C31:C35)</f>
        <v>11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5" t="s">
        <v>28</v>
      </c>
      <c r="C38" s="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1" t="s">
        <v>29</v>
      </c>
      <c r="C39" s="6">
        <v>4.0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1" t="s">
        <v>30</v>
      </c>
      <c r="C40" s="6">
        <v>3.0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31</v>
      </c>
      <c r="B41" s="1" t="s">
        <v>32</v>
      </c>
      <c r="C41" s="6">
        <v>2.0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1" t="s">
        <v>33</v>
      </c>
      <c r="C42" s="6">
        <v>3.0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8" t="s">
        <v>34</v>
      </c>
      <c r="C43" s="11">
        <v>3.0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1"/>
      <c r="C44" s="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1"/>
      <c r="C45" s="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1"/>
      <c r="C46" s="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1" t="s">
        <v>9</v>
      </c>
      <c r="C47" s="6">
        <f>SUM(C39:C46)</f>
        <v>15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3"/>
      <c r="B49" s="10" t="s">
        <v>35</v>
      </c>
      <c r="C49" s="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8" t="s">
        <v>36</v>
      </c>
      <c r="C50" s="6">
        <v>2.0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37</v>
      </c>
      <c r="B51" s="14" t="s">
        <v>38</v>
      </c>
      <c r="C51" s="14">
        <v>1.0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8" t="s">
        <v>39</v>
      </c>
      <c r="C52" s="6">
        <v>1.0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5"/>
      <c r="B53" s="8" t="s">
        <v>40</v>
      </c>
      <c r="C53" s="6">
        <v>2.0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5"/>
      <c r="B54" s="1" t="s">
        <v>41</v>
      </c>
      <c r="C54" s="6">
        <v>2.0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1" t="s">
        <v>9</v>
      </c>
      <c r="C55" s="6">
        <f>SUM(C50:C54)</f>
        <v>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2"/>
      <c r="B56" s="1"/>
      <c r="C56" s="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2"/>
      <c r="B57" s="1" t="s">
        <v>42</v>
      </c>
      <c r="C57" s="6">
        <f>SUM(C9,C18,C28,C36,C47,C55)</f>
        <v>66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