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écap annuel" sheetId="1" state="visible" r:id="rId1"/>
    <sheet name="Synthèse par mois" r:id="rId7" sheetId="3"/>
    <sheet name="Détail mensuel" sheetId="2" state="visible" r:id="rId2"/>
    <sheet name="Contrôle rubriques" r:id="rId8" sheetId="4"/>
  </sheets>
  <definedNames>
    <definedName name="_xlnm._FilterDatabase" localSheetId="0" hidden="true">'Récap annuel'!$A$4:$X$6</definedName>
    <definedName name="_xlnm._FilterDatabase" localSheetId="2" hidden="true">'Détail mensuel'!$A$4:$AB$10</definedName>
    <definedName name="_xlnm._FilterDatabase" localSheetId="3" hidden="true">'Contrôle rubriques'!$A$4:$I$18</definedName>
    <definedName name="_xlnm.Print_Titles" localSheetId="3">'Contrôle rubriques'!$4:$4</definedName>
  </definedNames>
</workbook>
</file>

<file path=xl/sharedStrings.xml><?xml version="1.0" encoding="utf-8"?>
<sst xmlns="http://schemas.openxmlformats.org/spreadsheetml/2006/main" count="200" uniqueCount="101">
  <si>
    <t>1</t>
  </si>
  <si>
    <t>RANDRASANA Eric Jean-Joel</t>
  </si>
  <si>
    <t>Galaxam Logistics</t>
  </si>
  <si>
    <t>Antananarivo - Siège</t>
  </si>
  <si>
    <t>DG</t>
  </si>
  <si>
    <t>PERMANENT</t>
  </si>
  <si>
    <t>35</t>
  </si>
  <si>
    <t>RALAMBOMANANA Tatamo Michele</t>
  </si>
  <si>
    <t>DAF</t>
  </si>
  <si>
    <t>TOTAL DES PÉRIODES INCLUSES</t>
  </si>
  <si>
    <t>01 — Janvier 2026</t>
  </si>
  <si>
    <t>BP-2026-01-1</t>
  </si>
  <si>
    <t>CLOTURE</t>
  </si>
  <si>
    <t>BP-2026-01-35</t>
  </si>
  <si>
    <t>02 — Février 2026</t>
  </si>
  <si>
    <t>BP-2026-02-1</t>
  </si>
  <si>
    <t>BP-2026-02-35</t>
  </si>
  <si>
    <t>03 — Mars 2026</t>
  </si>
  <si>
    <t>BP-2026-03-1</t>
  </si>
  <si>
    <t>BP-2026-03-35</t>
  </si>
  <si>
    <t>GALAXAM — SYNTHÈSE MENSUELLE DE LA PAIE</t>
  </si>
  <si>
    <t>2026  ·  3/12 périodes validées  ·  montants en ariary</t>
  </si>
  <si>
    <t>Mois</t>
  </si>
  <si>
    <t>Statut</t>
  </si>
  <si>
    <t>Salariés</t>
  </si>
  <si>
    <t>Salaire brut</t>
  </si>
  <si>
    <t>CNaPS salarié</t>
  </si>
  <si>
    <t>Santé salarié</t>
  </si>
  <si>
    <t>Net imposable</t>
  </si>
  <si>
    <t>Impôt retenu</t>
  </si>
  <si>
    <t>Net à payer</t>
  </si>
  <si>
    <t>Cotisations patronales</t>
  </si>
  <si>
    <t>Coût employeur</t>
  </si>
  <si>
    <t>Inclus</t>
  </si>
  <si>
    <t>04 — Avril 2026</t>
  </si>
  <si>
    <t>Non inclus</t>
  </si>
  <si>
    <t>05 — Mai 2026</t>
  </si>
  <si>
    <t>06 — Juin 2026</t>
  </si>
  <si>
    <t>07 — Juillet 2026</t>
  </si>
  <si>
    <t>08 — Août 2026</t>
  </si>
  <si>
    <t>09 — Septembre 2026</t>
  </si>
  <si>
    <t>10 — Octobre 2026</t>
  </si>
  <si>
    <t>11 — Novembre 2026</t>
  </si>
  <si>
    <t>12 — Décembre 2026</t>
  </si>
  <si>
    <t>TOTAL DES MOIS INCLUS</t>
  </si>
  <si>
    <t>CONTRÔLE DES RUBRIQUES DE PAIE</t>
  </si>
  <si>
    <t>Classement des lignes réellement présentes dans les bulletins inclus ; les variables configurées demandent une revue.</t>
  </si>
  <si>
    <t>Code rubrique</t>
  </si>
  <si>
    <t>Libellé</t>
  </si>
  <si>
    <t>Sens</t>
  </si>
  <si>
    <t>Catégorie</t>
  </si>
  <si>
    <t>Destination annuelle</t>
  </si>
  <si>
    <t>Contrôle</t>
  </si>
  <si>
    <t>Occurrences</t>
  </si>
  <si>
    <t>Montant salarié (Ar)</t>
  </si>
  <si>
    <t>Montant patronal (Ar)</t>
  </si>
  <si>
    <t>AJUSTEMENT_ARRONDI</t>
  </si>
  <si>
    <t>Ajustement Arrondi Monétaire (Écart de Règlement)</t>
  </si>
  <si>
    <t>RETENUE</t>
  </si>
  <si>
    <t>NET</t>
  </si>
  <si>
    <t>Ajustement monétaire net</t>
  </si>
  <si>
    <t>Classée</t>
  </si>
  <si>
    <t>GAIN</t>
  </si>
  <si>
    <t>COTISATION_CNAPS_PAT</t>
  </si>
  <si>
    <t>Cotisation CNaPS Patronale (13%)</t>
  </si>
  <si>
    <t>PATRONAL</t>
  </si>
  <si>
    <t>COTISATION_PATRONALE</t>
  </si>
  <si>
    <t>Cotisations patronales (total)</t>
  </si>
  <si>
    <t>COTISATION_CNAPS_SAL</t>
  </si>
  <si>
    <t>Cotisation CNaPS Salariale (1%)</t>
  </si>
  <si>
    <t>COTISATION_SALARIALE</t>
  </si>
  <si>
    <t>COTISATION_FMFP_PAT</t>
  </si>
  <si>
    <t>Cotisation FMFP Patronale (1%)</t>
  </si>
  <si>
    <t>COTISATION_OSTIE_PAT</t>
  </si>
  <si>
    <t>Cotisation OSTIE Patronale (5%)</t>
  </si>
  <si>
    <t>COTISATION_OSTIE_SAL</t>
  </si>
  <si>
    <t>Cotisation OSTIE Salariale (1%)</t>
  </si>
  <si>
    <t>HEURES_DIMANCHE</t>
  </si>
  <si>
    <t>Majoration Travail Dimanche</t>
  </si>
  <si>
    <t>HEURES_SUP</t>
  </si>
  <si>
    <t>Indemnités / primes</t>
  </si>
  <si>
    <t>IMPOT_IRSA_BRUT</t>
  </si>
  <si>
    <t>IRSA Brut (Barème Progressif 6 Tranches)</t>
  </si>
  <si>
    <t>INFO</t>
  </si>
  <si>
    <t>IMPOT</t>
  </si>
  <si>
    <t>Information, hors totaux</t>
  </si>
  <si>
    <t>IMPOT_IRSA_NET</t>
  </si>
  <si>
    <t>IRSA Net à Payer (Retenu à la Source)</t>
  </si>
  <si>
    <t>Impôt retenu (total bulletin)</t>
  </si>
  <si>
    <t>INDEMNITE_REPAS</t>
  </si>
  <si>
    <t>Indemnité de Repas</t>
  </si>
  <si>
    <t>INDEMNITE_IMPOSABLE</t>
  </si>
  <si>
    <t>À vérifier</t>
  </si>
  <si>
    <t>PRIME_ASSIDUITE</t>
  </si>
  <si>
    <t>Prime dAssiduité</t>
  </si>
  <si>
    <t>PRIME</t>
  </si>
  <si>
    <t>REDUCTION_CHARGE_FAMILLE</t>
  </si>
  <si>
    <t>Réduction IRSA pour Charges de Famille (2 enf.)</t>
  </si>
  <si>
    <t>SALAIRE_BASE</t>
  </si>
  <si>
    <t>Salaire de Base</t>
  </si>
  <si>
    <t>Salaire de base</t>
  </si>
</sst>
</file>

<file path=xl/styles.xml><?xml version="1.0" encoding="utf-8"?>
<styleSheet xmlns="http://schemas.openxmlformats.org/spreadsheetml/2006/main">
  <numFmts count="1">
    <numFmt numFmtId="164" formatCode="#,##0.00 &quot;Ar&quot;"/>
  </numFmts>
  <fonts count="18">
    <font>
      <name val="Carlito"/>
      <sz val="11"/>
    </font>
    <font>
      <name val="Carlito"/>
      <b val="1"/>
      <color rgb="FFFFFFFF"/>
      <sz val="16"/>
    </font>
    <font>
      <name val="Carlito"/>
      <i val="1"/>
      <color rgb="FF2E3230"/>
      <sz val="10"/>
    </font>
    <font>
      <name val="Carlito"/>
      <b val="1"/>
      <color rgb="FFFFFFFF"/>
      <sz val="9"/>
    </font>
    <font>
      <name val="Carlito"/>
      <color rgb="FF2E3230"/>
      <sz val="9"/>
    </font>
    <font>
      <name val="Carlito"/>
      <b val="1"/>
      <color rgb="FF2E3230"/>
      <sz val="9"/>
    </font>
    <font>
      <name val="Carlito"/>
      <b val="1"/>
      <color rgb="FFFFFFFF"/>
      <sz val="14"/>
    </font>
    <font>
      <name val="Carlito"/>
      <b val="1"/>
      <color rgb="FF2E3230"/>
      <sz val="11"/>
    </font>
    <font>
      <name val="Carlito"/>
      <i val="1"/>
      <color rgb="FF07324A"/>
      <sz val="10"/>
    </font>
    <font>
      <name val="Carlito"/>
      <color rgb="FF07324A"/>
      <sz val="9"/>
    </font>
    <font>
      <name val="Carlito"/>
      <b val="1"/>
      <color rgb="FF07324A"/>
      <sz val="9"/>
    </font>
    <font>
      <name val="Carlito"/>
      <b val="1"/>
      <color rgb="FF07324A"/>
      <sz val="11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b val="true"/>
      <color indexed="8"/>
    </font>
  </fonts>
  <fills count="10">
    <fill>
      <patternFill/>
    </fill>
    <fill>
      <patternFill patternType="gray125"/>
    </fill>
    <fill>
      <patternFill patternType="solid">
        <fgColor rgb="FF2F4A3C"/>
      </patternFill>
    </fill>
    <fill>
      <patternFill patternType="solid">
        <fgColor rgb="FFE8EFEA"/>
      </patternFill>
    </fill>
    <fill>
      <patternFill patternType="solid">
        <fgColor rgb="FFF5F7F5"/>
      </patternFill>
    </fill>
    <fill>
      <patternFill patternType="solid">
        <fgColor rgb="FF07324A"/>
        <bgColor rgb="FF07324A"/>
      </patternFill>
    </fill>
    <fill>
      <patternFill patternType="solid">
        <fgColor rgb="FFE1EDF2"/>
        <bgColor rgb="FFE1EDF2"/>
      </patternFill>
    </fill>
    <fill>
      <patternFill patternType="solid">
        <fgColor rgb="FFF7F9FA"/>
        <bgColor rgb="FFF7F9FA"/>
      </patternFill>
    </fill>
    <fill>
      <patternFill>
        <fgColor rgb="07324A"/>
      </patternFill>
    </fill>
    <fill>
      <patternFill patternType="solid">
        <fgColor rgb="07324A"/>
      </patternFill>
    </fill>
  </fills>
  <borders count="8">
    <border/>
    <border/>
    <border>
      <bottom style="thin">
        <color rgb="FFC9D2CC"/>
      </bottom>
    </border>
    <border>
      <bottom style="thin">
        <color rgb="FFC9D2CC"/>
      </bottom>
    </border>
    <border>
      <bottom style="thin">
        <color rgb="FFE1E6E2"/>
      </bottom>
    </border>
    <border>
      <bottom style="thin">
        <color rgb="FFE1E6E2"/>
      </bottom>
    </border>
    <border>
      <top style="thin">
        <color rgb="FF2F4A3C"/>
      </top>
    </border>
    <border>
      <top style="thin">
        <color rgb="FF2F4A3C"/>
      </top>
    </border>
  </borders>
  <cellStyleXfs count="1">
    <xf numFmtId="0" fontId="0" fillId="0" borderId="1"/>
  </cellStyleXfs>
  <cellXfs count="9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center"/>
    </xf>
    <xf numFmtId="0" fontId="3" fillId="2" borderId="0" pivotButton="0" quotePrefix="0" xfId="0"/>
    <xf numFmtId="0" fontId="3" fillId="2" borderId="2" pivotButton="0" quotePrefix="0" xfId="0"/>
    <xf numFmtId="0" fontId="3" fillId="2" borderId="2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3" pivotButton="0" quotePrefix="0" xfId="0"/>
    <xf numFmtId="0" fontId="3" fillId="2" borderId="3" applyAlignment="1" pivotButton="0" quotePrefix="0" xfId="0">
      <alignment wrapText="1"/>
    </xf>
    <xf numFmtId="0" fontId="3" fillId="2" borderId="3" applyAlignment="1" pivotButton="0" quotePrefix="0" xfId="0">
      <alignment horizont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4" pivotButton="0" quotePrefix="0" xfId="0"/>
    <xf numFmtId="0" fontId="4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1" pivotButton="0" quotePrefix="0" xfId="0"/>
    <xf numFmtId="0" fontId="4" fillId="0" borderId="5" pivotButton="0" quotePrefix="0" xfId="0"/>
    <xf numFmtId="0" fontId="4" fillId="0" borderId="1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5" fillId="3" borderId="0" pivotButton="0" quotePrefix="0" xfId="0"/>
    <xf numFmtId="0" fontId="5" fillId="3" borderId="6" pivotButton="0" quotePrefix="0" xfId="0"/>
    <xf numFmtId="0" fontId="5" fillId="3" borderId="1" pivotButton="0" quotePrefix="0" xfId="0"/>
    <xf numFmtId="0" fontId="5" fillId="3" borderId="7" pivotButton="0" quotePrefix="0" xfId="0"/>
    <xf numFmtId="0" fontId="5" fillId="3" borderId="6" applyAlignment="1" pivotButton="0" quotePrefix="0" xfId="0">
      <alignment horizontal="right"/>
    </xf>
    <xf numFmtId="0" fontId="5" fillId="3" borderId="7" applyAlignment="1" pivotButton="0" quotePrefix="0" xfId="0">
      <alignment horizontal="right"/>
    </xf>
    <xf numFmtId="164" fontId="4" fillId="0" borderId="0" applyAlignment="1" pivotButton="0" quotePrefix="0" xfId="0">
      <alignment vertical="center"/>
    </xf>
    <xf numFmtId="164" fontId="4" fillId="0" borderId="4" applyAlignment="1" pivotButton="0" quotePrefix="0" xfId="0">
      <alignment vertical="center"/>
    </xf>
    <xf numFmtId="164" fontId="5" fillId="3" borderId="6" pivotButton="0" quotePrefix="0" xfId="0"/>
    <xf numFmtId="164" fontId="4" fillId="0" borderId="1" applyAlignment="1" pivotButton="0" quotePrefix="0" xfId="0">
      <alignment vertical="center"/>
    </xf>
    <xf numFmtId="164" fontId="4" fillId="0" borderId="5" applyAlignment="1" pivotButton="0" quotePrefix="0" xfId="0">
      <alignment vertical="center"/>
    </xf>
    <xf numFmtId="164" fontId="5" fillId="3" borderId="7" pivotButton="0" quotePrefix="0" xfId="0"/>
    <xf numFmtId="2" fontId="4" fillId="0" borderId="0" applyAlignment="1" pivotButton="0" quotePrefix="0" xfId="0">
      <alignment vertical="center"/>
    </xf>
    <xf numFmtId="2" fontId="4" fillId="0" borderId="4" applyAlignment="1" pivotButton="0" quotePrefix="0" xfId="0">
      <alignment vertical="center"/>
    </xf>
    <xf numFmtId="2" fontId="5" fillId="3" borderId="6" pivotButton="0" quotePrefix="0" xfId="0"/>
    <xf numFmtId="2" fontId="4" fillId="0" borderId="1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2" fontId="5" fillId="3" borderId="7" pivotButton="0" quotePrefix="0" xfId="0"/>
    <xf numFmtId="0" fontId="4" fillId="4" borderId="0" applyAlignment="1" pivotButton="0" quotePrefix="0" xfId="0">
      <alignment vertical="center"/>
    </xf>
    <xf numFmtId="164" fontId="4" fillId="4" borderId="0" applyAlignment="1" pivotButton="0" quotePrefix="0" xfId="0">
      <alignment vertical="center"/>
    </xf>
    <xf numFmtId="2" fontId="4" fillId="4" borderId="0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2" fontId="4" fillId="4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164" fontId="4" fillId="4" borderId="4" applyAlignment="1" pivotButton="0" quotePrefix="0" xfId="0">
      <alignment vertical="center"/>
    </xf>
    <xf numFmtId="2" fontId="4" fillId="4" borderId="4" applyAlignment="1" pivotButton="0" quotePrefix="0" xfId="0">
      <alignment vertical="center"/>
    </xf>
    <xf numFmtId="0" fontId="4" fillId="4" borderId="5" applyAlignment="1" pivotButton="0" quotePrefix="0" xfId="0">
      <alignment vertical="center"/>
    </xf>
    <xf numFmtId="164" fontId="4" fillId="4" borderId="5" applyAlignment="1" pivotButton="0" quotePrefix="0" xfId="0">
      <alignment vertical="center"/>
    </xf>
    <xf numFmtId="2" fontId="4" fillId="4" borderId="5" applyAlignment="1" pivotButton="0" quotePrefix="0" xfId="0">
      <alignment vertical="center"/>
    </xf>
    <xf numFmtId="0" fontId="6" fillId="2" borderId="0" pivotButton="0" quotePrefix="0" xfId="0"/>
    <xf numFmtId="0" fontId="6" fillId="2" borderId="1" pivotButton="0" quotePrefix="0" xfId="0"/>
    <xf numFmtId="0" fontId="7" fillId="3" borderId="0" pivotButton="0" quotePrefix="0" xfId="0"/>
    <xf numFmtId="0" fontId="7" fillId="3" borderId="1" pivotButton="0" quotePrefix="0" xfId="0"/>
    <xf numFmtId="0" fontId="7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vertical="center"/>
    </xf>
    <xf numFmtId="0" fontId="3" fillId="5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2" fontId="9" fillId="0" borderId="0" applyAlignment="1" pivotButton="0" quotePrefix="0" xfId="0">
      <alignment vertical="center"/>
    </xf>
    <xf numFmtId="0" fontId="9" fillId="7" borderId="0" applyAlignment="1" pivotButton="0" quotePrefix="0" xfId="0">
      <alignment vertical="center"/>
    </xf>
    <xf numFmtId="164" fontId="9" fillId="7" borderId="0" applyAlignment="1" pivotButton="0" quotePrefix="0" xfId="0">
      <alignment vertical="center"/>
    </xf>
    <xf numFmtId="2" fontId="9" fillId="7" borderId="0" applyAlignment="1" pivotButton="0" quotePrefix="0" xfId="0">
      <alignment vertical="center"/>
    </xf>
    <xf numFmtId="0" fontId="9" fillId="7" borderId="4" applyAlignment="1" pivotButton="0" quotePrefix="0" xfId="0">
      <alignment vertical="center"/>
    </xf>
    <xf numFmtId="164" fontId="9" fillId="7" borderId="4" applyAlignment="1" pivotButton="0" quotePrefix="0" xfId="0">
      <alignment vertical="center"/>
    </xf>
    <xf numFmtId="2" fontId="9" fillId="7" borderId="4" applyAlignment="1" pivotButton="0" quotePrefix="0" xfId="0">
      <alignment vertical="center"/>
    </xf>
    <xf numFmtId="0" fontId="10" fillId="6" borderId="7" applyAlignment="1" pivotButton="0" quotePrefix="0" xfId="0">
      <alignment horizontal="right"/>
    </xf>
    <xf numFmtId="0" fontId="0" fillId="0" borderId="7" pivotButton="0" quotePrefix="0" xfId="0"/>
    <xf numFmtId="164" fontId="10" fillId="6" borderId="6" pivotButton="0" quotePrefix="0" xfId="0"/>
    <xf numFmtId="2" fontId="10" fillId="6" borderId="6" pivotButton="0" quotePrefix="0" xfId="0"/>
    <xf numFmtId="0" fontId="6" fillId="5" borderId="1" pivotButton="0" quotePrefix="0" xfId="0"/>
    <xf numFmtId="0" fontId="11" fillId="6" borderId="0" applyAlignment="1" pivotButton="0" quotePrefix="0" xfId="0">
      <alignment wrapText="1"/>
    </xf>
    <xf numFmtId="0" fontId="12" fillId="9" borderId="0" xfId="0" applyFont="true" applyAlignment="true" applyFill="true">
      <alignment vertical="center"/>
    </xf>
    <xf numFmtId="0" fontId="13" fillId="9" borderId="0" xfId="0" applyFont="true" applyAlignment="true" applyFill="true">
      <alignment vertical="center"/>
    </xf>
    <xf numFmtId="0" fontId="14" fillId="0" borderId="0" xfId="0" applyFont="true" applyAlignment="true">
      <alignment vertical="center"/>
    </xf>
    <xf numFmtId="4" fontId="15" fillId="0" borderId="0" xfId="0" applyFont="true" applyAlignment="true" applyNumberFormat="true">
      <alignment vertical="center" horizontal="right"/>
    </xf>
    <xf numFmtId="3" fontId="16" fillId="0" borderId="0" xfId="0" applyFont="true" applyAlignment="true" applyNumberFormat="true">
      <alignment vertical="center" horizontal="right"/>
    </xf>
    <xf numFmtId="0" fontId="17" fillId="0" borderId="0" xfId="0" applyFont="true" applyAlignment="true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4" Target="styles.xml" Type="http://schemas.openxmlformats.org/officeDocument/2006/relationships/styles"/><Relationship Id="rId5" Target="theme/theme1.xml" Type="http://schemas.openxmlformats.org/officeDocument/2006/relationships/theme"/><Relationship Id="rId6" Target="sharedStrings.xml" Type="http://schemas.openxmlformats.org/officeDocument/2006/relationships/sharedStrings"/><Relationship Id="rId7" Target="worksheets/sheet3.xml" Type="http://schemas.openxmlformats.org/officeDocument/2006/relationships/worksheet"/><Relationship Id="rId8" Target="worksheets/sheet4.xml" Type="http://schemas.openxmlformats.org/officeDocument/2006/relationships/worksheet"/></Relationships>
</file>

<file path=xl/tables/table1.xml><?xml version="1.0" encoding="utf-8"?>
<table xmlns="http://schemas.openxmlformats.org/spreadsheetml/2006/main" id="1" name="RecapAnnuelPaie" displayName="RecapAnnuelPaie" ref="A4:X6" headerRowCount="1" totalsRowCount="0" totalsRowShown="0">
  <tableColumns count="24">
    <tableColumn id="1" name="Matricule"/>
    <tableColumn id="2" name="Nom &amp; prénom"/>
    <tableColumn id="3" name="Filiale"/>
    <tableColumn id="4" name="Site"/>
    <tableColumn id="5" name="Poste"/>
    <tableColumn id="6" name="Type contrat"/>
    <tableColumn id="7" name="Salaire de base cumulé"/>
    <tableColumn id="8" name="Absences (h)"/>
    <tableColumn id="9" name="Retenue absence"/>
    <tableColumn id="10" name="Congés (j)"/>
    <tableColumn id="11" name="Indemnité congé"/>
    <tableColumn id="12" name="Heures sup."/>
    <tableColumn id="13" name="Indemnités / primes"/>
    <tableColumn id="14" name="Salaire brut"/>
    <tableColumn id="15" name="CNaPS salarié"/>
    <tableColumn id="16" name="Santé salarié"/>
    <tableColumn id="17" name="Net imposable"/>
    <tableColumn id="18" name="Impôt retenu"/>
    <tableColumn id="19" name="Avances / acomptes"/>
    <tableColumn id="20" name="Prêts"/>
    <tableColumn id="21" name="Autres retenues"/>
    <tableColumn id="22" name="Net à payer"/>
    <tableColumn id="23" name="Cotisations patronales"/>
    <tableColumn id="24" name="Coût employeu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tailMensuelPaie" displayName="DetailMensuelPaie" ref="A4:AB10" headerRowCount="1" totalsRowCount="0" totalsRowShown="0">
  <tableColumns count="28">
    <tableColumn id="1" name="Année"/>
    <tableColumn id="2" name="Mois de paie"/>
    <tableColumn id="3" name="Matricule"/>
    <tableColumn id="4" name="Nom &amp; prénom"/>
    <tableColumn id="5" name="Filiale"/>
    <tableColumn id="6" name="Site"/>
    <tableColumn id="7" name="Poste"/>
    <tableColumn id="8" name="Type contrat"/>
    <tableColumn id="9" name="Salaire de base"/>
    <tableColumn id="10" name="Absences (h)"/>
    <tableColumn id="11" name="Retenue absence"/>
    <tableColumn id="12" name="Congés (j)"/>
    <tableColumn id="13" name="Indemnité congé"/>
    <tableColumn id="14" name="Heures sup."/>
    <tableColumn id="15" name="Indemnités / primes"/>
    <tableColumn id="16" name="Salaire brut"/>
    <tableColumn id="17" name="CNaPS salarié"/>
    <tableColumn id="18" name="Santé salarié"/>
    <tableColumn id="19" name="Net imposable"/>
    <tableColumn id="20" name="Impôt retenu"/>
    <tableColumn id="21" name="Avances / acomptes"/>
    <tableColumn id="22" name="Prêts"/>
    <tableColumn id="23" name="Autres retenues"/>
    <tableColumn id="24" name="Net à payer"/>
    <tableColumn id="25" name="Cotisations patronales"/>
    <tableColumn id="26" name="Coût employeur"/>
    <tableColumn id="27" name="Référence bulletin"/>
    <tableColumn id="28" name="Statut bullet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/Relationships>
</file>

<file path=xl/worksheets/sheet1.xml><?xml version="1.0" encoding="utf-8"?>
<worksheet xmlns="http://schemas.openxmlformats.org/spreadsheetml/2006/main">
  <sheetPr>
    <outlinePr summaryBelow="1" summaryRight="1"/>
    <pageSetUpPr fitToPage="true"/>
  </sheetPr>
  <dimension ref="A1:X7"/>
  <sheetViews>
    <sheetView workbookViewId="0" showGridLines="false">
      <pane xSplit="2.0" ySplit="4.0" state="frozen" topLeftCell="C5" activePane="bottomRight"/>
      <selection pane="bottomRight"/>
    </sheetView>
  </sheetViews>
  <sheetFormatPr baseColWidth="8" defaultRowHeight="15"/>
  <cols>
    <col min="1" max="1" customWidth="true" width="14.0"/>
    <col min="2" max="2" customWidth="true" width="32.0"/>
    <col min="3" max="3" customWidth="true" width="25.0"/>
    <col min="4" max="4" customWidth="true" width="28.0"/>
    <col min="5" max="5" customWidth="true" width="24.0"/>
    <col min="6" max="6" customWidth="true" width="17.0"/>
    <col min="7" max="7" customWidth="true" width="18.0"/>
    <col min="8" max="8" customWidth="true" width="13.0"/>
    <col min="9" max="9" customWidth="true" width="18.0"/>
    <col min="10" max="10" customWidth="true" width="12.0"/>
    <col min="11" max="11" customWidth="true" width="18.0"/>
    <col min="12" max="12" customWidth="true" width="13.0"/>
    <col min="13" max="13" customWidth="true" width="19.0"/>
    <col min="14" max="14" customWidth="true" width="17.0"/>
    <col min="15" max="15" customWidth="true" width="16.0"/>
    <col min="16" max="16" customWidth="true" width="16.0"/>
    <col min="17" max="17" customWidth="true" width="16.0"/>
    <col min="18" max="18" customWidth="true" width="14.0"/>
    <col min="19" max="19" customWidth="true" width="17.0"/>
    <col min="20" max="20" customWidth="true" width="14.0"/>
    <col min="21" max="21" customWidth="true" width="16.0"/>
    <col min="22" max="22" customWidth="true" width="17.0"/>
    <col min="23" max="23" customWidth="true" width="20.0"/>
    <col min="24" max="24" customWidth="true" width="18.0"/>
  </cols>
  <sheetData>
    <row r="1" ht="30" customHeight="1">
      <c r="A1" s="70" t="inlineStr">
        <is>
          <t>GALAXAM — RÉCAPITULATIF ANNUEL DE LA PAIE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4" customHeight="1">
      <c r="A2" s="71" t="inlineStr">
        <v>2026  ·  3/12 périodes validées  ·  2026-01, 2026-02, 2026-03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/>
    <row r="4" ht="38" customHeight="1">
      <c r="A4" s="72" t="inlineStr">
        <is>
          <t>Matricule</t>
        </is>
      </c>
      <c r="B4" s="72" t="inlineStr">
        <is>
          <t>Nom &amp; prénom</t>
        </is>
      </c>
      <c r="C4" s="72" t="inlineStr">
        <is>
          <t>Filiale</t>
        </is>
      </c>
      <c r="D4" s="72" t="inlineStr">
        <is>
          <t>Site</t>
        </is>
      </c>
      <c r="E4" s="72" t="inlineStr">
        <is>
          <t>Poste</t>
        </is>
      </c>
      <c r="F4" s="72" t="inlineStr">
        <v>Type contrat</v>
      </c>
      <c r="G4" s="72" t="inlineStr">
        <is>
          <t>Salaire de base cumulé</t>
        </is>
      </c>
      <c r="H4" s="72" t="inlineStr">
        <is>
          <t>Absences (h)</t>
        </is>
      </c>
      <c r="I4" s="72" t="inlineStr">
        <is>
          <t>Retenue absence</t>
        </is>
      </c>
      <c r="J4" s="72" t="inlineStr">
        <is>
          <t>Congés (j)</t>
        </is>
      </c>
      <c r="K4" s="72" t="inlineStr">
        <is>
          <t>Indemnité congé</t>
        </is>
      </c>
      <c r="L4" s="72" t="inlineStr">
        <is>
          <t>Heures sup.</t>
        </is>
      </c>
      <c r="M4" s="72" t="inlineStr">
        <is>
          <t>Indemnités / primes</t>
        </is>
      </c>
      <c r="N4" s="72" t="inlineStr">
        <is>
          <t>Salaire brut</t>
        </is>
      </c>
      <c r="O4" s="72" t="inlineStr">
        <is>
          <t>CNaPS salarié</t>
        </is>
      </c>
      <c r="P4" s="72" t="inlineStr">
        <is>
          <t>Santé salarié</t>
        </is>
      </c>
      <c r="Q4" s="72" t="inlineStr">
        <is>
          <t>Net imposable</t>
        </is>
      </c>
      <c r="R4" s="72" t="inlineStr">
        <v>Impôt retenu</v>
      </c>
      <c r="S4" s="72" t="inlineStr">
        <is>
          <t>Avances / acomptes</t>
        </is>
      </c>
      <c r="T4" s="72" t="inlineStr">
        <is>
          <t>Prêts</t>
        </is>
      </c>
      <c r="U4" s="72" t="inlineStr">
        <is>
          <t>Autres retenues</t>
        </is>
      </c>
      <c r="V4" s="72" t="inlineStr">
        <is>
          <t>Net à payer</t>
        </is>
      </c>
      <c r="W4" s="72" t="inlineStr">
        <is>
          <t>Cotisations patronales</t>
        </is>
      </c>
      <c r="X4" s="72" t="inlineStr">
        <is>
          <t>Coût employeur</t>
        </is>
      </c>
    </row>
    <row r="5" ht="24.0" customHeight="true">
      <c r="A5" s="73" t="s">
        <v>0</v>
      </c>
      <c r="B5" s="73" t="s">
        <v>1</v>
      </c>
      <c r="C5" s="73" t="s">
        <v>2</v>
      </c>
      <c r="D5" s="73" t="s">
        <v>3</v>
      </c>
      <c r="E5" s="73" t="s">
        <v>4</v>
      </c>
      <c r="F5" s="73" t="s">
        <v>5</v>
      </c>
      <c r="G5" s="74" t="n">
        <v>1.5E7</v>
      </c>
      <c r="H5" s="75" t="n">
        <v>0.0</v>
      </c>
      <c r="I5" s="74" t="n">
        <v>0.0</v>
      </c>
      <c r="J5" s="75" t="n">
        <v>0.0</v>
      </c>
      <c r="K5" s="74" t="n">
        <v>0.0</v>
      </c>
      <c r="L5" s="75" t="n">
        <v>0.0</v>
      </c>
      <c r="M5" s="74" t="n">
        <v>370309.47</v>
      </c>
      <c r="N5" s="74" t="n">
        <v>1.537030947E7</v>
      </c>
      <c r="O5" s="74" t="n">
        <v>66028.8</v>
      </c>
      <c r="P5" s="74" t="n">
        <v>66028.8</v>
      </c>
      <c r="Q5" s="74" t="n">
        <v>1.523825187E7</v>
      </c>
      <c r="R5" s="74" t="n">
        <v>2920030.0</v>
      </c>
      <c r="S5" s="74" t="n">
        <v>0.0</v>
      </c>
      <c r="T5" s="74" t="n">
        <v>0.0</v>
      </c>
      <c r="U5" s="74" t="n">
        <v>0.0</v>
      </c>
      <c r="V5" s="74" t="n">
        <v>1.231822E7</v>
      </c>
      <c r="W5" s="74" t="n">
        <v>1254547.2</v>
      </c>
      <c r="X5" s="74" t="n">
        <v>1.662485667E7</v>
      </c>
    </row>
    <row r="6" ht="24.0" customHeight="true">
      <c r="A6" s="73" t="s">
        <v>6</v>
      </c>
      <c r="B6" s="73" t="s">
        <v>7</v>
      </c>
      <c r="C6" s="73" t="s">
        <v>2</v>
      </c>
      <c r="D6" s="73" t="s">
        <v>3</v>
      </c>
      <c r="E6" s="73" t="s">
        <v>8</v>
      </c>
      <c r="F6" s="73" t="s">
        <v>5</v>
      </c>
      <c r="G6" s="74" t="n">
        <v>1.05E7</v>
      </c>
      <c r="H6" s="75" t="n">
        <v>0.0</v>
      </c>
      <c r="I6" s="74" t="n">
        <v>0.0</v>
      </c>
      <c r="J6" s="75" t="n">
        <v>0.0</v>
      </c>
      <c r="K6" s="74" t="n">
        <v>0.0</v>
      </c>
      <c r="L6" s="75" t="n">
        <v>0.0</v>
      </c>
      <c r="M6" s="74" t="n">
        <v>342616.63</v>
      </c>
      <c r="N6" s="74" t="n">
        <v>1.084261663E7</v>
      </c>
      <c r="O6" s="74" t="n">
        <v>66028.8</v>
      </c>
      <c r="P6" s="74" t="n">
        <v>66028.8</v>
      </c>
      <c r="Q6" s="74" t="n">
        <v>1.071055903E7</v>
      </c>
      <c r="R6" s="74" t="n">
        <v>1864580.0</v>
      </c>
      <c r="S6" s="74" t="n">
        <v>0.0</v>
      </c>
      <c r="T6" s="74" t="n">
        <v>0.0</v>
      </c>
      <c r="U6" s="74" t="n">
        <v>0.0</v>
      </c>
      <c r="V6" s="74" t="n">
        <v>8845980.0</v>
      </c>
      <c r="W6" s="74" t="n">
        <v>1254547.2</v>
      </c>
      <c r="X6" s="74" t="n">
        <v>1.209716383E7</v>
      </c>
    </row>
    <row r="7" ht="24.0" customHeight="true">
      <c r="A7" s="82" t="s">
        <v>9</v>
      </c>
      <c r="B7" s="83"/>
      <c r="C7" s="83"/>
      <c r="D7" s="83"/>
      <c r="E7" s="83"/>
      <c r="F7" s="83"/>
      <c r="G7" s="84" t="n">
        <f>SUM(G5:G6)</f>
        <v>2.55E7</v>
      </c>
      <c r="H7" s="85" t="n">
        <f>SUM(H5:H6)</f>
        <v>0.0</v>
      </c>
      <c r="I7" s="84" t="n">
        <f>SUM(I5:I6)</f>
        <v>0.0</v>
      </c>
      <c r="J7" s="85" t="n">
        <f>SUM(J5:J6)</f>
        <v>0.0</v>
      </c>
      <c r="K7" s="84" t="n">
        <f>SUM(K5:K6)</f>
        <v>0.0</v>
      </c>
      <c r="L7" s="85" t="n">
        <f>SUM(L5:L6)</f>
        <v>0.0</v>
      </c>
      <c r="M7" s="84" t="n">
        <f>SUM(M5:M6)</f>
        <v>712926.1</v>
      </c>
      <c r="N7" s="84" t="n">
        <f>SUM(N5:N6)</f>
        <v>2.62129261E7</v>
      </c>
      <c r="O7" s="84" t="n">
        <f>SUM(O5:O6)</f>
        <v>132057.6</v>
      </c>
      <c r="P7" s="84" t="n">
        <f>SUM(P5:P6)</f>
        <v>132057.6</v>
      </c>
      <c r="Q7" s="84" t="n">
        <f>SUM(Q5:Q6)</f>
        <v>2.59488109E7</v>
      </c>
      <c r="R7" s="84" t="n">
        <f>SUM(R5:R6)</f>
        <v>4784610.0</v>
      </c>
      <c r="S7" s="84" t="n">
        <f>SUM(S5:S6)</f>
        <v>0.0</v>
      </c>
      <c r="T7" s="84" t="n">
        <f>SUM(T5:T6)</f>
        <v>0.0</v>
      </c>
      <c r="U7" s="84" t="n">
        <f>SUM(U5:U6)</f>
        <v>0.0</v>
      </c>
      <c r="V7" s="84" t="n">
        <f>SUM(V5:V6)</f>
        <v>2.11642E7</v>
      </c>
      <c r="W7" s="84" t="n">
        <f>SUM(W5:W6)</f>
        <v>2509094.4</v>
      </c>
      <c r="X7" s="84" t="n">
        <f>SUM(X5:X6)</f>
        <v>2.87220205E7</v>
      </c>
    </row>
  </sheetData>
  <autoFilter ref="A4:X6"/>
  <mergeCells count="4">
    <mergeCell ref="A2:X2"/>
    <mergeCell ref="A1:X1"/>
    <mergeCell ref="A7:F7"/>
  </mergeCells>
  <pageMargins left="0.7" right="0.7" top="0.75" bottom="0.75" header="0.3" footer="0.3"/>
  <pageSetup orientation="landscape" paperSize="8" fitToWidth="1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true"/>
  </sheetPr>
  <dimension ref="A1:AB10"/>
  <sheetViews>
    <sheetView workbookViewId="0" showGridLines="false">
      <pane xSplit="4.0" ySplit="4.0" state="frozen" topLeftCell="E5" activePane="bottomRight"/>
      <selection pane="bottomRight"/>
    </sheetView>
  </sheetViews>
  <sheetFormatPr baseColWidth="8" defaultRowHeight="15"/>
  <cols>
    <col min="1" max="1" customWidth="true" width="11.0"/>
    <col min="2" max="2" customWidth="true" width="16.0"/>
    <col min="3" max="3" customWidth="true" width="14.0"/>
    <col min="4" max="4" customWidth="true" width="32.0"/>
    <col min="5" max="5" customWidth="true" width="25.0"/>
    <col min="6" max="6" customWidth="true" width="28.0"/>
    <col min="7" max="7" customWidth="true" width="24.0"/>
    <col min="8" max="8" customWidth="true" width="17.0"/>
    <col min="9" max="9" customWidth="true" width="16.0"/>
    <col min="10" max="10" customWidth="true" width="13.0"/>
    <col min="11" max="11" customWidth="true" width="17.0"/>
    <col min="12" max="12" customWidth="true" width="12.0"/>
    <col min="13" max="13" customWidth="true" width="17.0"/>
    <col min="14" max="14" customWidth="true" width="13.0"/>
    <col min="15" max="15" customWidth="true" width="19.0"/>
    <col min="16" max="16" customWidth="true" width="17.0"/>
    <col min="17" max="17" customWidth="true" width="16.0"/>
    <col min="18" max="18" customWidth="true" width="16.0"/>
    <col min="19" max="19" customWidth="true" width="16.0"/>
    <col min="20" max="20" customWidth="true" width="14.0"/>
    <col min="21" max="21" customWidth="true" width="17.0"/>
    <col min="22" max="22" customWidth="true" width="14.0"/>
    <col min="23" max="23" customWidth="true" width="16.0"/>
    <col min="24" max="24" customWidth="true" width="17.0"/>
    <col min="25" max="25" customWidth="true" width="20.0"/>
    <col min="26" max="26" customWidth="true" width="18.0"/>
    <col min="27" max="27" customWidth="true" width="24.0" hidden="false"/>
    <col min="28" max="28" customWidth="true" width="16.0" hidden="false"/>
  </cols>
  <sheetData>
    <row r="1" ht="30" customHeight="1">
      <c r="A1" s="70" t="inlineStr">
        <is>
          <t>GALAXAM — DÉTAIL MENSUEL DE LA PAIE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24" customHeight="1">
      <c r="A2" s="71" t="inlineStr">
        <v>Détail par salarié et par période  ·  2026  ·  3/12 périodes validées  ·  2026-01, 2026-02, 2026-03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/>
    <row r="4" ht="38" customHeight="1">
      <c r="A4" s="72" t="inlineStr">
        <is>
          <t>Année</t>
        </is>
      </c>
      <c r="B4" s="72" t="inlineStr">
        <v>Mois de paie</v>
      </c>
      <c r="C4" s="72" t="inlineStr">
        <is>
          <t>Matricule</t>
        </is>
      </c>
      <c r="D4" s="72" t="inlineStr">
        <is>
          <t>Nom &amp; prénom</t>
        </is>
      </c>
      <c r="E4" s="72" t="inlineStr">
        <is>
          <t>Filiale</t>
        </is>
      </c>
      <c r="F4" s="72" t="inlineStr">
        <is>
          <t>Site</t>
        </is>
      </c>
      <c r="G4" s="72" t="inlineStr">
        <is>
          <t>Poste</t>
        </is>
      </c>
      <c r="H4" s="72" t="inlineStr">
        <v>Type contrat</v>
      </c>
      <c r="I4" s="72" t="inlineStr">
        <is>
          <t>Salaire de base</t>
        </is>
      </c>
      <c r="J4" s="72" t="inlineStr">
        <is>
          <t>Absences (h)</t>
        </is>
      </c>
      <c r="K4" s="72" t="inlineStr">
        <is>
          <t>Retenue absence</t>
        </is>
      </c>
      <c r="L4" s="72" t="inlineStr">
        <is>
          <t>Congés (j)</t>
        </is>
      </c>
      <c r="M4" s="72" t="inlineStr">
        <is>
          <t>Indemnité congé</t>
        </is>
      </c>
      <c r="N4" s="72" t="inlineStr">
        <is>
          <t>Heures sup.</t>
        </is>
      </c>
      <c r="O4" s="72" t="inlineStr">
        <is>
          <t>Indemnités / primes</t>
        </is>
      </c>
      <c r="P4" s="72" t="inlineStr">
        <is>
          <t>Salaire brut</t>
        </is>
      </c>
      <c r="Q4" s="72" t="inlineStr">
        <is>
          <t>CNaPS salarié</t>
        </is>
      </c>
      <c r="R4" s="72" t="inlineStr">
        <is>
          <t>Santé salarié</t>
        </is>
      </c>
      <c r="S4" s="72" t="inlineStr">
        <is>
          <t>Net imposable</t>
        </is>
      </c>
      <c r="T4" s="72" t="inlineStr">
        <v>Impôt retenu</v>
      </c>
      <c r="U4" s="72" t="inlineStr">
        <is>
          <t>Avances / acomptes</t>
        </is>
      </c>
      <c r="V4" s="72" t="inlineStr">
        <is>
          <t>Prêts</t>
        </is>
      </c>
      <c r="W4" s="72" t="inlineStr">
        <is>
          <t>Autres retenues</t>
        </is>
      </c>
      <c r="X4" s="72" t="inlineStr">
        <is>
          <t>Net à payer</t>
        </is>
      </c>
      <c r="Y4" s="72" t="inlineStr">
        <is>
          <t>Cotisations patronales</t>
        </is>
      </c>
      <c r="Z4" s="72" t="inlineStr">
        <is>
          <t>Coût employeur</t>
        </is>
      </c>
      <c r="AA4" s="72" t="inlineStr">
        <is>
          <t>Référence bulletin</t>
        </is>
      </c>
      <c r="AB4" s="72" t="inlineStr">
        <is>
          <t>Statut bulletin</t>
        </is>
      </c>
    </row>
    <row r="5" ht="24.0" customHeight="true">
      <c r="A5" s="73" t="n">
        <v>2026.0</v>
      </c>
      <c r="B5" s="73" t="s">
        <v>10</v>
      </c>
      <c r="C5" s="73" t="s">
        <v>0</v>
      </c>
      <c r="D5" s="73" t="s">
        <v>1</v>
      </c>
      <c r="E5" s="73" t="s">
        <v>2</v>
      </c>
      <c r="F5" s="73" t="s">
        <v>3</v>
      </c>
      <c r="G5" s="73" t="s">
        <v>4</v>
      </c>
      <c r="H5" s="73" t="s">
        <v>5</v>
      </c>
      <c r="I5" s="74" t="n">
        <v>5000000.0</v>
      </c>
      <c r="J5" s="75" t="n">
        <v>0.0</v>
      </c>
      <c r="K5" s="74" t="n">
        <v>0.0</v>
      </c>
      <c r="L5" s="75" t="n">
        <v>0.0</v>
      </c>
      <c r="M5" s="74" t="n">
        <v>0.0</v>
      </c>
      <c r="N5" s="75" t="n">
        <v>0.0</v>
      </c>
      <c r="O5" s="74" t="n">
        <v>90000.0</v>
      </c>
      <c r="P5" s="74" t="n">
        <v>5090000.0</v>
      </c>
      <c r="Q5" s="74" t="n">
        <v>21014.4</v>
      </c>
      <c r="R5" s="74" t="n">
        <v>21014.4</v>
      </c>
      <c r="S5" s="74" t="n">
        <v>5047971.2</v>
      </c>
      <c r="T5" s="74" t="n">
        <v>965480.0</v>
      </c>
      <c r="U5" s="74" t="n">
        <v>0.0</v>
      </c>
      <c r="V5" s="74" t="n">
        <v>0.0</v>
      </c>
      <c r="W5" s="74" t="n">
        <v>0.0</v>
      </c>
      <c r="X5" s="74" t="n">
        <v>4082490.0</v>
      </c>
      <c r="Y5" s="74" t="n">
        <v>399273.6</v>
      </c>
      <c r="Z5" s="74" t="n">
        <v>5489273.6</v>
      </c>
      <c r="AA5" s="73" t="s">
        <v>11</v>
      </c>
      <c r="AB5" s="73" t="s">
        <v>12</v>
      </c>
    </row>
    <row r="6" ht="24.0" customHeight="true">
      <c r="A6" s="73" t="n">
        <v>2026.0</v>
      </c>
      <c r="B6" s="73" t="s">
        <v>10</v>
      </c>
      <c r="C6" s="73" t="s">
        <v>6</v>
      </c>
      <c r="D6" s="73" t="s">
        <v>7</v>
      </c>
      <c r="E6" s="73" t="s">
        <v>2</v>
      </c>
      <c r="F6" s="73" t="s">
        <v>3</v>
      </c>
      <c r="G6" s="73" t="s">
        <v>8</v>
      </c>
      <c r="H6" s="73" t="s">
        <v>5</v>
      </c>
      <c r="I6" s="74" t="n">
        <v>3500000.0</v>
      </c>
      <c r="J6" s="75" t="n">
        <v>0.0</v>
      </c>
      <c r="K6" s="74" t="n">
        <v>0.0</v>
      </c>
      <c r="L6" s="75" t="n">
        <v>0.0</v>
      </c>
      <c r="M6" s="74" t="n">
        <v>0.0</v>
      </c>
      <c r="N6" s="75" t="n">
        <v>0.0</v>
      </c>
      <c r="O6" s="74" t="n">
        <v>90000.0</v>
      </c>
      <c r="P6" s="74" t="n">
        <v>3590000.0</v>
      </c>
      <c r="Q6" s="74" t="n">
        <v>21014.4</v>
      </c>
      <c r="R6" s="74" t="n">
        <v>21014.4</v>
      </c>
      <c r="S6" s="74" t="n">
        <v>3547971.2</v>
      </c>
      <c r="T6" s="74" t="n">
        <v>617080.0</v>
      </c>
      <c r="U6" s="74" t="n">
        <v>0.0</v>
      </c>
      <c r="V6" s="74" t="n">
        <v>0.0</v>
      </c>
      <c r="W6" s="74" t="n">
        <v>0.0</v>
      </c>
      <c r="X6" s="74" t="n">
        <v>2930890.0</v>
      </c>
      <c r="Y6" s="74" t="n">
        <v>399273.6</v>
      </c>
      <c r="Z6" s="74" t="n">
        <v>3989273.6</v>
      </c>
      <c r="AA6" s="73" t="s">
        <v>13</v>
      </c>
      <c r="AB6" s="73" t="s">
        <v>12</v>
      </c>
    </row>
    <row r="7" ht="24.0" customHeight="true">
      <c r="A7" s="73" t="n">
        <v>2026.0</v>
      </c>
      <c r="B7" s="73" t="s">
        <v>14</v>
      </c>
      <c r="C7" s="73" t="s">
        <v>0</v>
      </c>
      <c r="D7" s="73" t="s">
        <v>1</v>
      </c>
      <c r="E7" s="73" t="s">
        <v>2</v>
      </c>
      <c r="F7" s="73" t="s">
        <v>3</v>
      </c>
      <c r="G7" s="73" t="s">
        <v>4</v>
      </c>
      <c r="H7" s="73" t="s">
        <v>5</v>
      </c>
      <c r="I7" s="74" t="n">
        <v>5000000.0</v>
      </c>
      <c r="J7" s="75" t="n">
        <v>0.0</v>
      </c>
      <c r="K7" s="74" t="n">
        <v>0.0</v>
      </c>
      <c r="L7" s="75" t="n">
        <v>0.0</v>
      </c>
      <c r="M7" s="74" t="n">
        <v>0.0</v>
      </c>
      <c r="N7" s="75" t="n">
        <v>0.0</v>
      </c>
      <c r="O7" s="74" t="n">
        <v>190309.47</v>
      </c>
      <c r="P7" s="74" t="n">
        <v>5190309.47</v>
      </c>
      <c r="Q7" s="74" t="n">
        <v>21014.4</v>
      </c>
      <c r="R7" s="74" t="n">
        <v>21014.4</v>
      </c>
      <c r="S7" s="74" t="n">
        <v>5148280.67</v>
      </c>
      <c r="T7" s="74" t="n">
        <v>990550.0</v>
      </c>
      <c r="U7" s="74" t="n">
        <v>0.0</v>
      </c>
      <c r="V7" s="74" t="n">
        <v>0.0</v>
      </c>
      <c r="W7" s="74" t="n">
        <v>0.0</v>
      </c>
      <c r="X7" s="74" t="n">
        <v>4157730.0</v>
      </c>
      <c r="Y7" s="74" t="n">
        <v>399273.6</v>
      </c>
      <c r="Z7" s="74" t="n">
        <v>5589583.07</v>
      </c>
      <c r="AA7" s="73" t="s">
        <v>15</v>
      </c>
      <c r="AB7" s="73" t="s">
        <v>12</v>
      </c>
    </row>
    <row r="8" ht="24.0" customHeight="true">
      <c r="A8" s="73" t="n">
        <v>2026.0</v>
      </c>
      <c r="B8" s="73" t="s">
        <v>14</v>
      </c>
      <c r="C8" s="73" t="s">
        <v>6</v>
      </c>
      <c r="D8" s="73" t="s">
        <v>7</v>
      </c>
      <c r="E8" s="73" t="s">
        <v>2</v>
      </c>
      <c r="F8" s="73" t="s">
        <v>3</v>
      </c>
      <c r="G8" s="73" t="s">
        <v>8</v>
      </c>
      <c r="H8" s="73" t="s">
        <v>5</v>
      </c>
      <c r="I8" s="74" t="n">
        <v>3500000.0</v>
      </c>
      <c r="J8" s="75" t="n">
        <v>0.0</v>
      </c>
      <c r="K8" s="74" t="n">
        <v>0.0</v>
      </c>
      <c r="L8" s="75" t="n">
        <v>0.0</v>
      </c>
      <c r="M8" s="74" t="n">
        <v>0.0</v>
      </c>
      <c r="N8" s="75" t="n">
        <v>0.0</v>
      </c>
      <c r="O8" s="74" t="n">
        <v>162616.63</v>
      </c>
      <c r="P8" s="74" t="n">
        <v>3662616.63</v>
      </c>
      <c r="Q8" s="74" t="n">
        <v>21014.4</v>
      </c>
      <c r="R8" s="74" t="n">
        <v>21014.4</v>
      </c>
      <c r="S8" s="74" t="n">
        <v>3620587.83</v>
      </c>
      <c r="T8" s="74" t="n">
        <v>631600.0</v>
      </c>
      <c r="U8" s="74" t="n">
        <v>0.0</v>
      </c>
      <c r="V8" s="74" t="n">
        <v>0.0</v>
      </c>
      <c r="W8" s="74" t="n">
        <v>0.0</v>
      </c>
      <c r="X8" s="74" t="n">
        <v>2988990.0</v>
      </c>
      <c r="Y8" s="74" t="n">
        <v>399273.6</v>
      </c>
      <c r="Z8" s="74" t="n">
        <v>4061890.23</v>
      </c>
      <c r="AA8" s="73" t="s">
        <v>16</v>
      </c>
      <c r="AB8" s="73" t="s">
        <v>12</v>
      </c>
    </row>
    <row r="9" ht="24.0" customHeight="true">
      <c r="A9" s="73" t="n">
        <v>2026.0</v>
      </c>
      <c r="B9" s="73" t="s">
        <v>17</v>
      </c>
      <c r="C9" s="73" t="s">
        <v>0</v>
      </c>
      <c r="D9" s="73" t="s">
        <v>1</v>
      </c>
      <c r="E9" s="73" t="s">
        <v>2</v>
      </c>
      <c r="F9" s="73" t="s">
        <v>3</v>
      </c>
      <c r="G9" s="73" t="s">
        <v>4</v>
      </c>
      <c r="H9" s="73" t="s">
        <v>5</v>
      </c>
      <c r="I9" s="74" t="n">
        <v>5000000.0</v>
      </c>
      <c r="J9" s="75" t="n">
        <v>0.0</v>
      </c>
      <c r="K9" s="74" t="n">
        <v>0.0</v>
      </c>
      <c r="L9" s="75" t="n">
        <v>0.0</v>
      </c>
      <c r="M9" s="74" t="n">
        <v>0.0</v>
      </c>
      <c r="N9" s="75" t="n">
        <v>0.0</v>
      </c>
      <c r="O9" s="74" t="n">
        <v>90000.0</v>
      </c>
      <c r="P9" s="74" t="n">
        <v>5090000.0</v>
      </c>
      <c r="Q9" s="74" t="n">
        <v>24000.0</v>
      </c>
      <c r="R9" s="74" t="n">
        <v>24000.0</v>
      </c>
      <c r="S9" s="74" t="n">
        <v>5042000.0</v>
      </c>
      <c r="T9" s="74" t="n">
        <v>964000.0</v>
      </c>
      <c r="U9" s="74" t="n">
        <v>0.0</v>
      </c>
      <c r="V9" s="74" t="n">
        <v>0.0</v>
      </c>
      <c r="W9" s="74" t="n">
        <v>0.0</v>
      </c>
      <c r="X9" s="74" t="n">
        <v>4078000.0</v>
      </c>
      <c r="Y9" s="74" t="n">
        <v>456000.0</v>
      </c>
      <c r="Z9" s="74" t="n">
        <v>5546000.0</v>
      </c>
      <c r="AA9" s="73" t="s">
        <v>18</v>
      </c>
      <c r="AB9" s="73" t="s">
        <v>12</v>
      </c>
    </row>
    <row r="10" ht="24.0" customHeight="true">
      <c r="A10" s="73" t="n">
        <v>2026.0</v>
      </c>
      <c r="B10" s="73" t="s">
        <v>17</v>
      </c>
      <c r="C10" s="73" t="s">
        <v>6</v>
      </c>
      <c r="D10" s="73" t="s">
        <v>7</v>
      </c>
      <c r="E10" s="73" t="s">
        <v>2</v>
      </c>
      <c r="F10" s="73" t="s">
        <v>3</v>
      </c>
      <c r="G10" s="73" t="s">
        <v>8</v>
      </c>
      <c r="H10" s="73" t="s">
        <v>5</v>
      </c>
      <c r="I10" s="74" t="n">
        <v>3500000.0</v>
      </c>
      <c r="J10" s="75" t="n">
        <v>0.0</v>
      </c>
      <c r="K10" s="74" t="n">
        <v>0.0</v>
      </c>
      <c r="L10" s="75" t="n">
        <v>0.0</v>
      </c>
      <c r="M10" s="74" t="n">
        <v>0.0</v>
      </c>
      <c r="N10" s="75" t="n">
        <v>0.0</v>
      </c>
      <c r="O10" s="74" t="n">
        <v>90000.0</v>
      </c>
      <c r="P10" s="74" t="n">
        <v>3590000.0</v>
      </c>
      <c r="Q10" s="74" t="n">
        <v>24000.0</v>
      </c>
      <c r="R10" s="74" t="n">
        <v>24000.0</v>
      </c>
      <c r="S10" s="74" t="n">
        <v>3542000.0</v>
      </c>
      <c r="T10" s="74" t="n">
        <v>615900.0</v>
      </c>
      <c r="U10" s="74" t="n">
        <v>0.0</v>
      </c>
      <c r="V10" s="74" t="n">
        <v>0.0</v>
      </c>
      <c r="W10" s="74" t="n">
        <v>0.0</v>
      </c>
      <c r="X10" s="74" t="n">
        <v>2926100.0</v>
      </c>
      <c r="Y10" s="74" t="n">
        <v>456000.0</v>
      </c>
      <c r="Z10" s="74" t="n">
        <v>4046000.0</v>
      </c>
      <c r="AA10" s="73" t="s">
        <v>19</v>
      </c>
      <c r="AB10" s="73" t="s">
        <v>12</v>
      </c>
    </row>
  </sheetData>
  <autoFilter ref="A4:AB10"/>
  <mergeCells count="2">
    <mergeCell ref="A2:AB2"/>
    <mergeCell ref="A1:AB1"/>
  </mergeCells>
  <pageMargins left="0.7" right="0.7" top="0.75" bottom="0.75" header="0.3" footer="0.3"/>
  <pageSetup orientation="landscape" paperSize="8" fitToWidth="1" fitToHeight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pageSetUpPr fitToPage="true"/>
  </sheetPr>
  <dimension ref="A1:K17"/>
  <sheetViews>
    <sheetView workbookViewId="0" showGridLines="false">
      <pane xSplit="1.0" ySplit="4.0" state="frozen" topLeftCell="B5" activePane="bottomRight"/>
      <selection pane="bottomRight"/>
    </sheetView>
  </sheetViews>
  <sheetFormatPr defaultRowHeight="15.0"/>
  <cols>
    <col min="1" max="1" width="21.0" customWidth="true"/>
    <col min="2" max="2" width="16.0" customWidth="true"/>
    <col min="3" max="3" width="13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</cols>
  <sheetData>
    <row r="1" ht="30.0" customHeight="true">
      <c r="A1" s="70" t="s">
        <v>20</v>
      </c>
      <c r="B1" s="70"/>
      <c r="C1" s="70"/>
      <c r="D1" s="70"/>
      <c r="E1" s="70"/>
      <c r="F1" s="70"/>
      <c r="G1" s="70"/>
      <c r="H1" s="70"/>
      <c r="I1" s="70"/>
      <c r="J1" s="70"/>
      <c r="K1" s="70"/>
    </row>
    <row r="2">
      <c r="A2" s="71" t="s">
        <v>21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4" ht="30.0" customHeight="true">
      <c r="A4" s="72" t="s">
        <v>22</v>
      </c>
      <c r="B4" s="72" t="s">
        <v>23</v>
      </c>
      <c r="C4" s="72" t="s">
        <v>24</v>
      </c>
      <c r="D4" s="72" t="s">
        <v>25</v>
      </c>
      <c r="E4" s="72" t="s">
        <v>26</v>
      </c>
      <c r="F4" s="72" t="s">
        <v>27</v>
      </c>
      <c r="G4" s="72" t="s">
        <v>28</v>
      </c>
      <c r="H4" s="72" t="s">
        <v>29</v>
      </c>
      <c r="I4" s="72" t="s">
        <v>30</v>
      </c>
      <c r="J4" s="72" t="s">
        <v>31</v>
      </c>
      <c r="K4" s="72" t="s">
        <v>32</v>
      </c>
    </row>
    <row r="5" ht="24.0" customHeight="true">
      <c r="A5" s="73" t="s">
        <v>10</v>
      </c>
      <c r="B5" s="73" t="s">
        <v>33</v>
      </c>
      <c r="C5" s="73" t="n">
        <v>2.0</v>
      </c>
      <c r="D5" s="74" t="n">
        <v>8680000.0</v>
      </c>
      <c r="E5" s="74" t="n">
        <v>42028.8</v>
      </c>
      <c r="F5" s="74" t="n">
        <v>42028.8</v>
      </c>
      <c r="G5" s="74" t="n">
        <v>8595942.4</v>
      </c>
      <c r="H5" s="74" t="n">
        <v>1582560.0</v>
      </c>
      <c r="I5" s="74" t="n">
        <v>7013380.0</v>
      </c>
      <c r="J5" s="74" t="n">
        <v>798547.2</v>
      </c>
      <c r="K5" s="74" t="n">
        <v>9478547.2</v>
      </c>
    </row>
    <row r="6" ht="24.0" customHeight="true">
      <c r="A6" s="76" t="s">
        <v>14</v>
      </c>
      <c r="B6" s="76" t="s">
        <v>33</v>
      </c>
      <c r="C6" s="76" t="n">
        <v>2.0</v>
      </c>
      <c r="D6" s="77" t="n">
        <v>8852926.1</v>
      </c>
      <c r="E6" s="77" t="n">
        <v>42028.8</v>
      </c>
      <c r="F6" s="77" t="n">
        <v>42028.8</v>
      </c>
      <c r="G6" s="77" t="n">
        <v>8768868.5</v>
      </c>
      <c r="H6" s="77" t="n">
        <v>1622150.0</v>
      </c>
      <c r="I6" s="77" t="n">
        <v>7146720.0</v>
      </c>
      <c r="J6" s="77" t="n">
        <v>798547.2</v>
      </c>
      <c r="K6" s="77" t="n">
        <v>9651473.3</v>
      </c>
    </row>
    <row r="7" ht="24.0" customHeight="true">
      <c r="A7" s="73" t="s">
        <v>17</v>
      </c>
      <c r="B7" s="73" t="s">
        <v>33</v>
      </c>
      <c r="C7" s="73" t="n">
        <v>2.0</v>
      </c>
      <c r="D7" s="74" t="n">
        <v>8680000.0</v>
      </c>
      <c r="E7" s="74" t="n">
        <v>48000.0</v>
      </c>
      <c r="F7" s="74" t="n">
        <v>48000.0</v>
      </c>
      <c r="G7" s="74" t="n">
        <v>8584000.0</v>
      </c>
      <c r="H7" s="74" t="n">
        <v>1579900.0</v>
      </c>
      <c r="I7" s="74" t="n">
        <v>7004100.0</v>
      </c>
      <c r="J7" s="74" t="n">
        <v>912000.0</v>
      </c>
      <c r="K7" s="74" t="n">
        <v>9592000.0</v>
      </c>
    </row>
    <row r="8" ht="24.0" customHeight="true">
      <c r="A8" s="76" t="s">
        <v>34</v>
      </c>
      <c r="B8" s="76" t="s">
        <v>35</v>
      </c>
      <c r="C8" s="76"/>
      <c r="D8" s="76"/>
      <c r="E8" s="76"/>
      <c r="F8" s="76"/>
      <c r="G8" s="77"/>
      <c r="H8" s="78"/>
      <c r="I8" s="77"/>
      <c r="J8" s="78"/>
      <c r="K8" s="77"/>
    </row>
    <row r="9" ht="24.0" customHeight="true">
      <c r="A9" s="73" t="s">
        <v>36</v>
      </c>
      <c r="B9" s="73" t="s">
        <v>35</v>
      </c>
      <c r="C9" s="73"/>
      <c r="D9" s="73"/>
      <c r="E9" s="73"/>
      <c r="F9" s="73"/>
      <c r="G9" s="74"/>
      <c r="H9" s="75"/>
      <c r="I9" s="74"/>
      <c r="J9" s="75"/>
      <c r="K9" s="74"/>
    </row>
    <row r="10" ht="24.0" customHeight="true">
      <c r="A10" s="76" t="s">
        <v>37</v>
      </c>
      <c r="B10" s="76" t="s">
        <v>35</v>
      </c>
      <c r="C10" s="76"/>
      <c r="D10" s="76"/>
      <c r="E10" s="76"/>
      <c r="F10" s="76"/>
      <c r="G10" s="77"/>
      <c r="H10" s="78"/>
      <c r="I10" s="77"/>
      <c r="J10" s="78"/>
      <c r="K10" s="77"/>
    </row>
    <row r="11" ht="24.0" customHeight="true">
      <c r="A11" s="73" t="s">
        <v>38</v>
      </c>
      <c r="B11" s="73" t="s">
        <v>35</v>
      </c>
      <c r="C11" s="73"/>
      <c r="D11" s="73"/>
      <c r="E11" s="73"/>
      <c r="F11" s="73"/>
      <c r="G11" s="74"/>
      <c r="H11" s="75"/>
      <c r="I11" s="74"/>
      <c r="J11" s="75"/>
      <c r="K11" s="74"/>
    </row>
    <row r="12" ht="24.0" customHeight="true">
      <c r="A12" s="76" t="s">
        <v>39</v>
      </c>
      <c r="B12" s="76" t="s">
        <v>35</v>
      </c>
      <c r="C12" s="76"/>
      <c r="D12" s="76"/>
      <c r="E12" s="76"/>
      <c r="F12" s="76"/>
      <c r="G12" s="77"/>
      <c r="H12" s="78"/>
      <c r="I12" s="77"/>
      <c r="J12" s="78"/>
      <c r="K12" s="77"/>
    </row>
    <row r="13" ht="24.0" customHeight="true">
      <c r="A13" s="73" t="s">
        <v>40</v>
      </c>
      <c r="B13" s="73" t="s">
        <v>35</v>
      </c>
      <c r="C13" s="73"/>
      <c r="D13" s="73"/>
      <c r="E13" s="73"/>
      <c r="F13" s="73"/>
      <c r="G13" s="74"/>
      <c r="H13" s="75"/>
      <c r="I13" s="74"/>
      <c r="J13" s="75"/>
      <c r="K13" s="74"/>
    </row>
    <row r="14" ht="24.0" customHeight="true">
      <c r="A14" s="76" t="s">
        <v>41</v>
      </c>
      <c r="B14" s="76" t="s">
        <v>35</v>
      </c>
      <c r="C14" s="76"/>
      <c r="D14" s="76"/>
      <c r="E14" s="76"/>
      <c r="F14" s="76"/>
      <c r="G14" s="77"/>
      <c r="H14" s="78"/>
      <c r="I14" s="77"/>
      <c r="J14" s="78"/>
      <c r="K14" s="77"/>
    </row>
    <row r="15" ht="24.0" customHeight="true">
      <c r="A15" s="73" t="s">
        <v>42</v>
      </c>
      <c r="B15" s="73" t="s">
        <v>35</v>
      </c>
      <c r="C15" s="73"/>
      <c r="D15" s="73"/>
      <c r="E15" s="73"/>
      <c r="F15" s="73"/>
      <c r="G15" s="74"/>
      <c r="H15" s="75"/>
      <c r="I15" s="74"/>
      <c r="J15" s="75"/>
      <c r="K15" s="74"/>
    </row>
    <row r="16" ht="24.0" customHeight="true">
      <c r="A16" s="76" t="s">
        <v>43</v>
      </c>
      <c r="B16" s="76" t="s">
        <v>35</v>
      </c>
      <c r="C16" s="76"/>
      <c r="D16" s="76"/>
      <c r="E16" s="76"/>
      <c r="F16" s="76"/>
      <c r="G16" s="77"/>
      <c r="H16" s="78"/>
      <c r="I16" s="77"/>
      <c r="J16" s="78"/>
      <c r="K16" s="77"/>
    </row>
    <row r="17" ht="24.0" customHeight="true">
      <c r="A17" s="82" t="s">
        <v>44</v>
      </c>
      <c r="B17" s="83"/>
      <c r="C17" s="83" t="n">
        <v>2.0</v>
      </c>
      <c r="D17" s="84" t="n">
        <f>SUM(D5:D16)</f>
        <v>2.62129261E7</v>
      </c>
      <c r="E17" s="84" t="n">
        <f>SUM(E5:E16)</f>
        <v>132057.6</v>
      </c>
      <c r="F17" s="84" t="n">
        <f>SUM(F5:F16)</f>
        <v>132057.6</v>
      </c>
      <c r="G17" s="84" t="n">
        <f>SUM(G5:G16)</f>
        <v>2.59488109E7</v>
      </c>
      <c r="H17" s="84" t="n">
        <f>SUM(H5:H16)</f>
        <v>4784610.0</v>
      </c>
      <c r="I17" s="84" t="n">
        <f>SUM(I5:I16)</f>
        <v>2.11642E7</v>
      </c>
      <c r="J17" s="84" t="n">
        <f>SUM(J5:J16)</f>
        <v>2509094.4</v>
      </c>
      <c r="K17" s="84" t="n">
        <f>SUM(K5:K16)</f>
        <v>2.87220205E7</v>
      </c>
    </row>
  </sheetData>
  <mergeCells count="3">
    <mergeCell ref="A1:K1"/>
    <mergeCell ref="A2:K2"/>
    <mergeCell ref="A17:B17"/>
  </mergeCells>
  <pageMargins bottom="0.75" footer="0.3" header="0.3" left="0.7" right="0.7" top="0.75"/>
  <pageSetup orientation="landscape" paperSize="9" fitToWidth="1" fitToHeight="1"/>
</worksheet>
</file>

<file path=xl/worksheets/sheet4.xml><?xml version="1.0" encoding="utf-8"?>
<worksheet xmlns="http://schemas.openxmlformats.org/spreadsheetml/2006/main">
  <sheetPr>
    <pageSetUpPr fitToPage="true"/>
  </sheetPr>
  <dimension ref="A1:I18"/>
  <sheetViews>
    <sheetView workbookViewId="0" showGridLines="false">
      <pane xSplit="2.0" ySplit="4.0" state="frozen" topLeftCell="C5" activePane="bottomRight"/>
      <selection pane="bottomRight"/>
    </sheetView>
  </sheetViews>
  <sheetFormatPr defaultRowHeight="15.0"/>
  <cols>
    <col min="1" max="1" width="22.0" customWidth="true"/>
    <col min="2" max="2" width="38.0" customWidth="true"/>
    <col min="3" max="3" width="11.0" customWidth="true"/>
    <col min="4" max="4" width="22.0" customWidth="true"/>
    <col min="5" max="5" width="29.0" customWidth="true"/>
    <col min="6" max="6" width="15.0" customWidth="true"/>
    <col min="7" max="7" width="12.0" customWidth="true"/>
    <col min="8" max="8" width="21.0" customWidth="true"/>
    <col min="9" max="9" width="21.0" customWidth="true"/>
  </cols>
  <sheetData>
    <row r="1" ht="36.0" customHeight="true">
      <c r="A1" s="88" t="s">
        <v>45</v>
      </c>
      <c r="B1" s="88"/>
      <c r="C1" s="88"/>
      <c r="D1" s="88"/>
      <c r="E1" s="88"/>
      <c r="F1" s="88"/>
      <c r="G1" s="88"/>
      <c r="H1" s="88"/>
      <c r="I1" s="88"/>
    </row>
    <row r="2">
      <c r="A2" t="s" s="0">
        <v>46</v>
      </c>
    </row>
    <row r="4" ht="30.0" customHeight="true">
      <c r="A4" t="s" s="89">
        <v>47</v>
      </c>
      <c r="B4" t="s" s="89">
        <v>48</v>
      </c>
      <c r="C4" t="s" s="89">
        <v>49</v>
      </c>
      <c r="D4" t="s" s="89">
        <v>50</v>
      </c>
      <c r="E4" t="s" s="89">
        <v>51</v>
      </c>
      <c r="F4" t="s" s="89">
        <v>52</v>
      </c>
      <c r="G4" t="s" s="89">
        <v>53</v>
      </c>
      <c r="H4" t="s" s="89">
        <v>54</v>
      </c>
      <c r="I4" t="s" s="89">
        <v>55</v>
      </c>
    </row>
    <row r="5" ht="25.0" customHeight="true">
      <c r="A5" t="s" s="90">
        <v>56</v>
      </c>
      <c r="B5" t="s" s="90">
        <v>57</v>
      </c>
      <c r="C5" t="s" s="90">
        <v>58</v>
      </c>
      <c r="D5" t="s" s="90">
        <v>59</v>
      </c>
      <c r="E5" t="s" s="90">
        <v>60</v>
      </c>
      <c r="F5" t="s" s="90">
        <v>61</v>
      </c>
      <c r="G5" t="n" s="92">
        <v>3.0</v>
      </c>
      <c r="H5" t="n" s="91">
        <v>3.07</v>
      </c>
      <c r="I5" t="n" s="91">
        <v>0.0</v>
      </c>
    </row>
    <row r="6" ht="25.0" customHeight="true">
      <c r="A6" t="s" s="90">
        <v>56</v>
      </c>
      <c r="B6" t="s" s="90">
        <v>57</v>
      </c>
      <c r="C6" t="s" s="90">
        <v>62</v>
      </c>
      <c r="D6" t="s" s="90">
        <v>59</v>
      </c>
      <c r="E6" t="s" s="90">
        <v>60</v>
      </c>
      <c r="F6" t="s" s="90">
        <v>61</v>
      </c>
      <c r="G6" t="n" s="92">
        <v>1.0</v>
      </c>
      <c r="H6" t="n" s="91">
        <v>2.17</v>
      </c>
      <c r="I6" t="n" s="91">
        <v>0.0</v>
      </c>
    </row>
    <row r="7" ht="25.0" customHeight="true">
      <c r="A7" t="s" s="90">
        <v>63</v>
      </c>
      <c r="B7" t="s" s="90">
        <v>64</v>
      </c>
      <c r="C7" t="s" s="90">
        <v>65</v>
      </c>
      <c r="D7" t="s" s="90">
        <v>66</v>
      </c>
      <c r="E7" t="s" s="90">
        <v>67</v>
      </c>
      <c r="F7" t="s" s="90">
        <v>61</v>
      </c>
      <c r="G7" t="n" s="92">
        <v>6.0</v>
      </c>
      <c r="H7" t="n" s="91">
        <v>0.0</v>
      </c>
      <c r="I7" t="n" s="91">
        <v>1716748.8</v>
      </c>
    </row>
    <row r="8" ht="25.0" customHeight="true">
      <c r="A8" t="s" s="90">
        <v>68</v>
      </c>
      <c r="B8" t="s" s="90">
        <v>69</v>
      </c>
      <c r="C8" t="s" s="90">
        <v>58</v>
      </c>
      <c r="D8" t="s" s="90">
        <v>70</v>
      </c>
      <c r="E8" t="s" s="90">
        <v>26</v>
      </c>
      <c r="F8" t="s" s="90">
        <v>61</v>
      </c>
      <c r="G8" t="n" s="92">
        <v>6.0</v>
      </c>
      <c r="H8" t="n" s="91">
        <v>132057.6</v>
      </c>
      <c r="I8" t="n" s="91">
        <v>0.0</v>
      </c>
    </row>
    <row r="9" ht="25.0" customHeight="true">
      <c r="A9" t="s" s="90">
        <v>71</v>
      </c>
      <c r="B9" t="s" s="90">
        <v>72</v>
      </c>
      <c r="C9" t="s" s="90">
        <v>65</v>
      </c>
      <c r="D9" t="s" s="90">
        <v>66</v>
      </c>
      <c r="E9" t="s" s="90">
        <v>67</v>
      </c>
      <c r="F9" t="s" s="90">
        <v>61</v>
      </c>
      <c r="G9" t="n" s="92">
        <v>6.0</v>
      </c>
      <c r="H9" t="n" s="91">
        <v>0.0</v>
      </c>
      <c r="I9" t="n" s="91">
        <v>132057.6</v>
      </c>
    </row>
    <row r="10" ht="25.0" customHeight="true">
      <c r="A10" t="s" s="90">
        <v>73</v>
      </c>
      <c r="B10" t="s" s="90">
        <v>74</v>
      </c>
      <c r="C10" t="s" s="90">
        <v>65</v>
      </c>
      <c r="D10" t="s" s="90">
        <v>66</v>
      </c>
      <c r="E10" t="s" s="90">
        <v>67</v>
      </c>
      <c r="F10" t="s" s="90">
        <v>61</v>
      </c>
      <c r="G10" t="n" s="92">
        <v>6.0</v>
      </c>
      <c r="H10" t="n" s="91">
        <v>0.0</v>
      </c>
      <c r="I10" t="n" s="91">
        <v>660288.0</v>
      </c>
    </row>
    <row r="11" ht="25.0" customHeight="true">
      <c r="A11" t="s" s="90">
        <v>75</v>
      </c>
      <c r="B11" t="s" s="90">
        <v>76</v>
      </c>
      <c r="C11" t="s" s="90">
        <v>58</v>
      </c>
      <c r="D11" t="s" s="90">
        <v>70</v>
      </c>
      <c r="E11" t="s" s="90">
        <v>27</v>
      </c>
      <c r="F11" t="s" s="90">
        <v>61</v>
      </c>
      <c r="G11" t="n" s="92">
        <v>6.0</v>
      </c>
      <c r="H11" t="n" s="91">
        <v>132057.6</v>
      </c>
      <c r="I11" t="n" s="91">
        <v>0.0</v>
      </c>
    </row>
    <row r="12" ht="25.0" customHeight="true">
      <c r="A12" t="s" s="90">
        <v>77</v>
      </c>
      <c r="B12" t="s" s="90">
        <v>78</v>
      </c>
      <c r="C12" t="s" s="90">
        <v>62</v>
      </c>
      <c r="D12" t="s" s="90">
        <v>79</v>
      </c>
      <c r="E12" t="s" s="90">
        <v>80</v>
      </c>
      <c r="F12" t="s" s="90">
        <v>61</v>
      </c>
      <c r="G12" t="n" s="92">
        <v>2.0</v>
      </c>
      <c r="H12" t="n" s="91">
        <v>156926.1</v>
      </c>
      <c r="I12" t="n" s="91">
        <v>0.0</v>
      </c>
    </row>
    <row r="13" ht="25.0" customHeight="true">
      <c r="A13" t="s" s="90">
        <v>81</v>
      </c>
      <c r="B13" t="s" s="90">
        <v>82</v>
      </c>
      <c r="C13" t="s" s="90">
        <v>83</v>
      </c>
      <c r="D13" t="s" s="90">
        <v>84</v>
      </c>
      <c r="E13" t="s" s="90">
        <v>85</v>
      </c>
      <c r="F13" t="s" s="90">
        <v>61</v>
      </c>
      <c r="G13" t="n" s="92">
        <v>6.0</v>
      </c>
      <c r="H13" t="n" s="91">
        <v>4796610.0</v>
      </c>
      <c r="I13" t="n" s="91">
        <v>0.0</v>
      </c>
    </row>
    <row r="14" ht="25.0" customHeight="true">
      <c r="A14" t="s" s="90">
        <v>86</v>
      </c>
      <c r="B14" t="s" s="90">
        <v>87</v>
      </c>
      <c r="C14" t="s" s="90">
        <v>58</v>
      </c>
      <c r="D14" t="s" s="90">
        <v>84</v>
      </c>
      <c r="E14" t="s" s="90">
        <v>88</v>
      </c>
      <c r="F14" t="s" s="90">
        <v>61</v>
      </c>
      <c r="G14" t="n" s="92">
        <v>6.0</v>
      </c>
      <c r="H14" t="n" s="91">
        <v>4784610.0</v>
      </c>
      <c r="I14" t="n" s="91">
        <v>0.0</v>
      </c>
    </row>
    <row r="15" ht="25.0" customHeight="true">
      <c r="A15" t="s" s="90">
        <v>89</v>
      </c>
      <c r="B15" t="s" s="90">
        <v>90</v>
      </c>
      <c r="C15" t="s" s="90">
        <v>62</v>
      </c>
      <c r="D15" t="s" s="90">
        <v>91</v>
      </c>
      <c r="E15" t="s" s="90">
        <v>80</v>
      </c>
      <c r="F15" t="s" s="93">
        <v>92</v>
      </c>
      <c r="G15" t="n" s="92">
        <v>6.0</v>
      </c>
      <c r="H15" t="n" s="91">
        <v>256000.0</v>
      </c>
      <c r="I15" t="n" s="91">
        <v>0.0</v>
      </c>
    </row>
    <row r="16" ht="25.0" customHeight="true">
      <c r="A16" t="s" s="90">
        <v>93</v>
      </c>
      <c r="B16" t="s" s="90">
        <v>94</v>
      </c>
      <c r="C16" t="s" s="90">
        <v>62</v>
      </c>
      <c r="D16" t="s" s="90">
        <v>95</v>
      </c>
      <c r="E16" t="s" s="90">
        <v>80</v>
      </c>
      <c r="F16" t="s" s="90">
        <v>61</v>
      </c>
      <c r="G16" t="n" s="92">
        <v>6.0</v>
      </c>
      <c r="H16" t="n" s="91">
        <v>300000.0</v>
      </c>
      <c r="I16" t="n" s="91">
        <v>0.0</v>
      </c>
    </row>
    <row r="17" ht="25.0" customHeight="true">
      <c r="A17" t="s" s="90">
        <v>96</v>
      </c>
      <c r="B17" t="s" s="90">
        <v>97</v>
      </c>
      <c r="C17" t="s" s="90">
        <v>83</v>
      </c>
      <c r="D17" t="s" s="90">
        <v>84</v>
      </c>
      <c r="E17" t="s" s="90">
        <v>85</v>
      </c>
      <c r="F17" t="s" s="90">
        <v>61</v>
      </c>
      <c r="G17" t="n" s="92">
        <v>3.0</v>
      </c>
      <c r="H17" t="n" s="91">
        <v>12000.0</v>
      </c>
      <c r="I17" t="n" s="91">
        <v>0.0</v>
      </c>
    </row>
    <row r="18" ht="25.0" customHeight="true">
      <c r="A18" t="s" s="90">
        <v>98</v>
      </c>
      <c r="B18" t="s" s="90">
        <v>99</v>
      </c>
      <c r="C18" t="s" s="90">
        <v>62</v>
      </c>
      <c r="D18" t="s" s="90">
        <v>98</v>
      </c>
      <c r="E18" t="s" s="90">
        <v>100</v>
      </c>
      <c r="F18" t="s" s="90">
        <v>61</v>
      </c>
      <c r="G18" t="n" s="92">
        <v>6.0</v>
      </c>
      <c r="H18" t="n" s="91">
        <v>2.55E7</v>
      </c>
      <c r="I18" t="n" s="91">
        <v>0.0</v>
      </c>
    </row>
  </sheetData>
  <autoFilter ref="A4:I18"/>
  <mergeCells count="1">
    <mergeCell ref="A1:I1"/>
  </mergeCells>
  <pageMargins bottom="0.75" footer="0.3" header="0.3" left="0.7" right="0.7" top="0.75"/>
  <pageSetup usePrinterDefaults="false" orientation="landscape" paperSize="8" fitToWidth="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2026-10-05T16:12:03Z</dcterms:created>
  <dc:creator>openpyxl</dc:creator>
  <dcterms:modified xsi:type="dcterms:W3CDTF">2026-10-05T16:12:03Z</dcterms:modified>
</cp:coreProperties>
</file>