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État congés salarié" sheetId="1" state="visible" r:id="rId1"/>
    <sheet name="Mouvements" sheetId="2" state="visible" r:id="rId2"/>
    <sheet name="README" sheetId="3" state="visible" r:id="rId3"/>
    <sheet name="Origine des droits" r:id="rId7" sheetId="4"/>
  </sheets>
  <definedNames>
    <definedName name="_xlnm._FilterDatabase" localSheetId="1" hidden="true">Mouvements!$A$3:$J$8</definedName>
  </definedNames>
  <calcPr fullCalcOnLoad="true"/>
</workbook>
</file>

<file path=xl/sharedStrings.xml><?xml version="1.0" encoding="utf-8"?>
<sst xmlns="http://schemas.openxmlformats.org/spreadsheetml/2006/main" count="76" uniqueCount="65">
  <si>
    <t>Matricule : 35</t>
  </si>
  <si>
    <t>Nom &amp; prénom : RALAMBOMANANA Tatamo Michele</t>
  </si>
  <si>
    <t>Filiale : Galaxam Logistics</t>
  </si>
  <si>
    <t>Site : Antananarivo - Siège</t>
  </si>
  <si>
    <t>Poste : DAF</t>
  </si>
  <si>
    <t>Période de référence</t>
  </si>
  <si>
    <t>Du 01/01/2026</t>
  </si>
  <si>
    <t>Au 31/12/2026</t>
  </si>
  <si>
    <t>Solde ouv. : 12,50 j</t>
  </si>
  <si>
    <t>Valorisation droits ouverture : 1 458 333,38 Ar</t>
  </si>
  <si>
    <t>TCONGE ouv. : 116 666,67 Ar</t>
  </si>
  <si>
    <t>Mode reprise : AGGREGATED_OPENING</t>
  </si>
  <si>
    <t>Statut : OUVERTE</t>
  </si>
  <si>
    <t>TCONGE clôture : En cours</t>
  </si>
  <si>
    <t>N° mois</t>
  </si>
  <si>
    <t>TCONGE clôture → En cours</t>
  </si>
  <si>
    <t>1 — 01/01/2026 au 25/01/2026</t>
  </si>
  <si>
    <t>2 — 26/01/2026 au 25/02/2026</t>
  </si>
  <si>
    <t>3 — 26/02/2026 au 25/03/2026</t>
  </si>
  <si>
    <t>4 — 01/04/2026 au 30/04/2026</t>
  </si>
  <si>
    <t>5 — 01/05/2026 au 31/05/2026</t>
  </si>
  <si>
    <t>6 — 01/06/2026 au 30/06/2026</t>
  </si>
  <si>
    <t>7 — 01/07/2026 au 31/07/2026</t>
  </si>
  <si>
    <t>8 — 01/08/2026 au 31/08/2026</t>
  </si>
  <si>
    <t>9 — 01/09/2026 au 30/09/2026</t>
  </si>
  <si>
    <t>10 — 01/10/2026 au 31/10/2026</t>
  </si>
  <si>
    <t>11 — 01/11/2026 au 30/11/2026</t>
  </si>
  <si>
    <t>12 — 01/12/2026 au 31/12/2026</t>
  </si>
  <si>
    <t>01/01/2026</t>
  </si>
  <si>
    <t>Solde d'ouverture (report)</t>
  </si>
  <si>
    <t>PERIODE-2</t>
  </si>
  <si>
    <t>Report des droits acquis de la période précédente / cutover</t>
  </si>
  <si>
    <t>Système RH (Report)</t>
  </si>
  <si>
    <t>25/01/2026</t>
  </si>
  <si>
    <t>Acquisition mensuelle</t>
  </si>
  <si>
    <t>—</t>
  </si>
  <si>
    <t>Acquisition mensuelle légale (2.5000j)</t>
  </si>
  <si>
    <t>Manuel (Admin #1)</t>
  </si>
  <si>
    <t>25/02/2026</t>
  </si>
  <si>
    <t>25/03/2026</t>
  </si>
  <si>
    <t>05/10/2026</t>
  </si>
  <si>
    <t>Bonification ancienneté</t>
  </si>
  <si>
    <t>Bonification d'ancienneté (24 ans)</t>
  </si>
  <si>
    <t>Automatique Système</t>
  </si>
  <si>
    <t>Valeur du stock après mvt (Ar)</t>
  </si>
  <si>
    <t>Origine</t>
  </si>
  <si>
    <t>ID droit</t>
  </si>
  <si>
    <t>Date acquisition</t>
  </si>
  <si>
    <t>Jours restants</t>
  </si>
  <si>
    <t>Valeur restante</t>
  </si>
  <si>
    <t>ID prise</t>
  </si>
  <si>
    <t>Jours consommés</t>
  </si>
  <si>
    <t>Valeur consommée</t>
  </si>
  <si>
    <t>TCONGE historique</t>
  </si>
  <si>
    <t>REPRISE_CUTOVER</t>
  </si>
  <si>
    <t>2025-12-25</t>
  </si>
  <si>
    <t>ACQUISITION</t>
  </si>
  <si>
    <t>2026-01-25</t>
  </si>
  <si>
    <t>2026-02-25</t>
  </si>
  <si>
    <t>2026-03-25</t>
  </si>
  <si>
    <t>BONIFICATION</t>
  </si>
  <si>
    <t>2026-10-05</t>
  </si>
  <si>
    <t>Douze périodes du cycle individuel ; les dates des campagnes de paie sont utilisées lorsqu'elles sont disponibles.</t>
  </si>
  <si>
    <t>Le cumul valorisé des droits TCONGE et la valeur du solde disponible sont deux indicateurs distincts.</t>
  </si>
  <si>
    <t>Les mouvements expliquent les crédits et débits ; la valeur du stock provient de la valorisation FIFO des lots de droits, pas de solde × TCONGE.</t>
  </si>
</sst>
</file>

<file path=xl/styles.xml><?xml version="1.0" encoding="utf-8"?>
<styleSheet xmlns="http://schemas.openxmlformats.org/spreadsheetml/2006/main">
  <numFmts count="1">
    <numFmt numFmtId="164" formatCode="#,##0.00 &quot;Ar&quot;"/>
  </numFmts>
  <fonts count="17">
    <font>
      <name val="Carlito"/>
      <sz val="11"/>
    </font>
    <font>
      <name val="Carlito"/>
      <b val="1"/>
      <color rgb="FFFFFFFF"/>
      <sz val="16"/>
    </font>
    <font>
      <name val="Carlito"/>
      <color rgb="FF2E3230"/>
      <sz val="9"/>
    </font>
    <font>
      <name val="Carlito"/>
      <b val="1"/>
      <color rgb="FFFFFFFF"/>
      <sz val="9"/>
    </font>
    <font>
      <name val="Carlito"/>
      <b val="1"/>
      <color rgb="FF2E3230"/>
      <sz val="9"/>
    </font>
    <font>
      <name val="Carlito"/>
      <i val="1"/>
      <color rgb="FF2E3230"/>
      <sz val="9"/>
    </font>
    <font>
      <name val="Carlito"/>
      <b val="1"/>
      <color rgb="FFFFFFFF"/>
      <sz val="15"/>
    </font>
    <font>
      <name val="Carlito"/>
      <b val="1"/>
      <color rgb="FFFFFFFF"/>
      <sz val="14"/>
    </font>
    <font>
      <name val="Carlito"/>
      <b val="1"/>
      <color rgb="FF2E3230"/>
      <sz val="11"/>
    </font>
    <font>
      <name val="Calibri"/>
      <b val="1"/>
      <color rgb="00FFFFFF"/>
      <sz val="14"/>
    </font>
    <font>
      <name val="Calibri"/>
      <b val="1"/>
      <color rgb="00FFFFFF"/>
      <sz val="9"/>
    </font>
    <font>
      <name val="Calibri"/>
      <color rgb="00000000"/>
      <sz val="9"/>
    </font>
    <font>
      <name val="Calibri"/>
      <b val="1"/>
      <color rgb="001F4E79"/>
      <sz val="8"/>
    </font>
    <font>
      <name val="Calibri"/>
      <b val="1"/>
      <color rgb="00375623"/>
      <sz val="8"/>
    </font>
    <font>
      <name val="Calibri"/>
      <b val="1"/>
      <color rgb="00000000"/>
      <sz val="9"/>
    </font>
    <font>
      <name val="Calibri"/>
      <b val="1"/>
      <color rgb="007B3F00"/>
      <sz val="9"/>
    </font>
    <font>
      <name val="Calibri"/>
      <i val="1"/>
      <color rgb="00595959"/>
      <sz val="8"/>
    </font>
  </fonts>
  <fills count="14">
    <fill>
      <patternFill/>
    </fill>
    <fill>
      <patternFill patternType="gray125"/>
    </fill>
    <fill>
      <patternFill patternType="solid">
        <fgColor rgb="FF2F4A3C"/>
      </patternFill>
    </fill>
    <fill>
      <patternFill patternType="solid">
        <fgColor rgb="FFE8EFEA"/>
      </patternFill>
    </fill>
    <fill>
      <patternFill patternType="solid">
        <fgColor rgb="FFF7F9F7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DEEAF1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2F9EE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9">
    <border/>
    <border/>
    <border>
      <bottom style="thin">
        <color rgb="FFCBD5CE"/>
      </bottom>
    </border>
    <border>
      <bottom style="thin">
        <color rgb="FFCBD5CE"/>
      </bottom>
    </border>
    <border>
      <bottom style="thin">
        <color rgb="FFE3E8E4"/>
      </bottom>
    </border>
    <border>
      <bottom style="thin">
        <color rgb="FFE3E8E4"/>
      </bottom>
    </border>
    <border>
      <top style="thin">
        <color rgb="FF2F4A3C"/>
      </top>
    </border>
    <border>
      <top style="thin">
        <color rgb="FF2F4A3C"/>
      </top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1"/>
  </cellStyleXfs>
  <cellXfs count="11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2" pivotButton="0" quotePrefix="0" xfId="0"/>
    <xf numFmtId="0" fontId="2" fillId="3" borderId="0" applyAlignment="1" pivotButton="0" quotePrefix="0" xfId="0">
      <alignment wrapText="1"/>
    </xf>
    <xf numFmtId="0" fontId="2" fillId="3" borderId="2" applyAlignment="1" pivotButton="0" quotePrefix="0" xfId="0">
      <alignment wrapText="1"/>
    </xf>
    <xf numFmtId="0" fontId="2" fillId="3" borderId="0" applyAlignment="1" pivotButton="0" quotePrefix="0" xfId="0">
      <alignment vertical="center" wrapText="1"/>
    </xf>
    <xf numFmtId="0" fontId="2" fillId="3" borderId="2" applyAlignment="1" pivotButton="0" quotePrefix="0" xfId="0">
      <alignment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3" pivotButton="0" quotePrefix="0" xfId="0"/>
    <xf numFmtId="0" fontId="2" fillId="3" borderId="1" applyAlignment="1" pivotButton="0" quotePrefix="0" xfId="0">
      <alignment wrapText="1"/>
    </xf>
    <xf numFmtId="0" fontId="2" fillId="3" borderId="3" applyAlignment="1" pivotButton="0" quotePrefix="0" xfId="0">
      <alignment wrapText="1"/>
    </xf>
    <xf numFmtId="0" fontId="2" fillId="3" borderId="1" applyAlignment="1" pivotButton="0" quotePrefix="0" xfId="0">
      <alignment vertical="center" wrapText="1"/>
    </xf>
    <xf numFmtId="0" fontId="2" fillId="3" borderId="3" applyAlignment="1" pivotButton="0" quotePrefix="0" xfId="0">
      <alignment vertical="center" wrapText="1"/>
    </xf>
    <xf numFmtId="0" fontId="3" fillId="2" borderId="0" pivotButton="0" quotePrefix="0" xfId="0"/>
    <xf numFmtId="0" fontId="3" fillId="2" borderId="0" applyAlignment="1" pivotButton="0" quotePrefix="0" xfId="0">
      <alignment wrapText="1"/>
    </xf>
    <xf numFmtId="0" fontId="3" fillId="2" borderId="0" applyAlignment="1" pivotButton="0" quotePrefix="0" xfId="0">
      <alignment horizontal="center" wrapText="1"/>
    </xf>
    <xf numFmtId="0" fontId="3" fillId="2" borderId="0" applyAlignment="1" pivotButton="0" quotePrefix="0" xfId="0">
      <alignment horizontal="center" vertical="center" wrapText="1"/>
    </xf>
    <xf numFmtId="0" fontId="3" fillId="2" borderId="1" pivotButton="0" quotePrefix="0" xfId="0"/>
    <xf numFmtId="0" fontId="3" fillId="2" borderId="1" applyAlignment="1" pivotButton="0" quotePrefix="0" xfId="0">
      <alignment wrapText="1"/>
    </xf>
    <xf numFmtId="0" fontId="3" fillId="2" borderId="1" applyAlignment="1" pivotButton="0" quotePrefix="0" xfId="0">
      <alignment horizontal="center" wrapText="1"/>
    </xf>
    <xf numFmtId="0" fontId="3" fillId="2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0" fillId="4" borderId="1" pivotButton="0" quotePrefix="0" xfId="0"/>
    <xf numFmtId="0" fontId="2" fillId="4" borderId="0" pivotButton="0" quotePrefix="0" xfId="0"/>
    <xf numFmtId="0" fontId="2" fillId="0" borderId="0" pivotButton="0" quotePrefix="0" xfId="0"/>
    <xf numFmtId="0" fontId="2" fillId="0" borderId="4" pivotButton="0" quotePrefix="0" xfId="0"/>
    <xf numFmtId="0" fontId="2" fillId="4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0" fontId="2" fillId="4" borderId="1" pivotButton="0" quotePrefix="0" xfId="0"/>
    <xf numFmtId="0" fontId="2" fillId="0" borderId="1" pivotButton="0" quotePrefix="0" xfId="0"/>
    <xf numFmtId="0" fontId="2" fillId="0" borderId="5" pivotButton="0" quotePrefix="0" xfId="0"/>
    <xf numFmtId="0" fontId="2" fillId="4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5" applyAlignment="1" pivotButton="0" quotePrefix="0" xfId="0">
      <alignment vertical="center"/>
    </xf>
    <xf numFmtId="0" fontId="4" fillId="3" borderId="0" pivotButton="0" quotePrefix="0" xfId="0"/>
    <xf numFmtId="0" fontId="4" fillId="3" borderId="6" pivotButton="0" quotePrefix="0" xfId="0"/>
    <xf numFmtId="0" fontId="4" fillId="3" borderId="1" pivotButton="0" quotePrefix="0" xfId="0"/>
    <xf numFmtId="0" fontId="4" fillId="3" borderId="7" pivotButton="0" quotePrefix="0" xfId="0"/>
    <xf numFmtId="0" fontId="5" fillId="3" borderId="0" pivotButton="0" quotePrefix="0" xfId="0"/>
    <xf numFmtId="0" fontId="5" fillId="3" borderId="0" applyAlignment="1" pivotButton="0" quotePrefix="0" xfId="0">
      <alignment wrapText="1"/>
    </xf>
    <xf numFmtId="0" fontId="5" fillId="3" borderId="0" applyAlignment="1" pivotButton="0" quotePrefix="0" xfId="0">
      <alignment vertical="center" wrapText="1"/>
    </xf>
    <xf numFmtId="0" fontId="5" fillId="3" borderId="1" pivotButton="0" quotePrefix="0" xfId="0"/>
    <xf numFmtId="0" fontId="5" fillId="3" borderId="1" applyAlignment="1" pivotButton="0" quotePrefix="0" xfId="0">
      <alignment wrapText="1"/>
    </xf>
    <xf numFmtId="0" fontId="5" fillId="3" borderId="1" applyAlignment="1" pivotButton="0" quotePrefix="0" xfId="0">
      <alignment vertical="center" wrapText="1"/>
    </xf>
    <xf numFmtId="164" fontId="2" fillId="4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164" fontId="2" fillId="0" borderId="4" applyAlignment="1" pivotButton="0" quotePrefix="0" xfId="0">
      <alignment vertical="center"/>
    </xf>
    <xf numFmtId="164" fontId="4" fillId="3" borderId="6" pivotButton="0" quotePrefix="0" xfId="0"/>
    <xf numFmtId="164" fontId="2" fillId="4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164" fontId="2" fillId="0" borderId="5" applyAlignment="1" pivotButton="0" quotePrefix="0" xfId="0">
      <alignment vertical="center"/>
    </xf>
    <xf numFmtId="164" fontId="4" fillId="3" borderId="7" pivotButton="0" quotePrefix="0" xfId="0"/>
    <xf numFmtId="2" fontId="2" fillId="4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  <xf numFmtId="2" fontId="2" fillId="0" borderId="4" applyAlignment="1" pivotButton="0" quotePrefix="0" xfId="0">
      <alignment vertical="center"/>
    </xf>
    <xf numFmtId="2" fontId="4" fillId="3" borderId="6" pivotButton="0" quotePrefix="0" xfId="0"/>
    <xf numFmtId="2" fontId="2" fillId="4" borderId="1" applyAlignment="1" pivotButton="0" quotePrefix="0" xfId="0">
      <alignment vertical="center"/>
    </xf>
    <xf numFmtId="2" fontId="2" fillId="0" borderId="1" applyAlignment="1" pivotButton="0" quotePrefix="0" xfId="0">
      <alignment vertical="center"/>
    </xf>
    <xf numFmtId="2" fontId="2" fillId="0" borderId="5" applyAlignment="1" pivotButton="0" quotePrefix="0" xfId="0">
      <alignment vertical="center"/>
    </xf>
    <xf numFmtId="2" fontId="4" fillId="3" borderId="7" pivotButton="0" quotePrefix="0" xfId="0"/>
    <xf numFmtId="0" fontId="6" fillId="2" borderId="0" pivotButton="0" quotePrefix="0" xfId="0"/>
    <xf numFmtId="0" fontId="6" fillId="2" borderId="1" pivotButton="0" quotePrefix="0" xfId="0"/>
    <xf numFmtId="2" fontId="2" fillId="4" borderId="0" pivotButton="0" quotePrefix="0" xfId="0"/>
    <xf numFmtId="2" fontId="2" fillId="0" borderId="0" pivotButton="0" quotePrefix="0" xfId="0"/>
    <xf numFmtId="2" fontId="2" fillId="0" borderId="4" pivotButton="0" quotePrefix="0" xfId="0"/>
    <xf numFmtId="2" fontId="2" fillId="4" borderId="1" pivotButton="0" quotePrefix="0" xfId="0"/>
    <xf numFmtId="2" fontId="2" fillId="0" borderId="1" pivotButton="0" quotePrefix="0" xfId="0"/>
    <xf numFmtId="2" fontId="2" fillId="0" borderId="5" pivotButton="0" quotePrefix="0" xfId="0"/>
    <xf numFmtId="164" fontId="2" fillId="4" borderId="0" pivotButton="0" quotePrefix="0" xfId="0"/>
    <xf numFmtId="164" fontId="2" fillId="0" borderId="0" pivotButton="0" quotePrefix="0" xfId="0"/>
    <xf numFmtId="164" fontId="2" fillId="0" borderId="4" pivotButton="0" quotePrefix="0" xfId="0"/>
    <xf numFmtId="164" fontId="2" fillId="4" borderId="1" pivotButton="0" quotePrefix="0" xfId="0"/>
    <xf numFmtId="164" fontId="2" fillId="0" borderId="1" pivotButton="0" quotePrefix="0" xfId="0"/>
    <xf numFmtId="164" fontId="2" fillId="0" borderId="5" pivotButton="0" quotePrefix="0" xfId="0"/>
    <xf numFmtId="0" fontId="7" fillId="2" borderId="0" pivotButton="0" quotePrefix="0" xfId="0"/>
    <xf numFmtId="0" fontId="7" fillId="2" borderId="1" pivotButton="0" quotePrefix="0" xfId="0"/>
    <xf numFmtId="0" fontId="8" fillId="3" borderId="0" pivotButton="0" quotePrefix="0" xfId="0"/>
    <xf numFmtId="0" fontId="8" fillId="3" borderId="1" pivotButton="0" quotePrefix="0" xfId="0"/>
    <xf numFmtId="0" fontId="8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9" fillId="5" borderId="1" applyAlignment="1" pivotButton="0" quotePrefix="0" xfId="0">
      <alignment horizontal="center" vertical="center"/>
    </xf>
    <xf numFmtId="0" fontId="10" fillId="6" borderId="8" applyAlignment="1" pivotButton="0" quotePrefix="0" xfId="0">
      <alignment horizontal="left" vertical="center"/>
    </xf>
    <xf numFmtId="0" fontId="11" fillId="7" borderId="8" applyAlignment="1" pivotButton="0" quotePrefix="0" xfId="0">
      <alignment vertical="center" wrapText="1"/>
    </xf>
    <xf numFmtId="0" fontId="11" fillId="7" borderId="8" pivotButton="0" quotePrefix="0" xfId="0"/>
    <xf numFmtId="0" fontId="10" fillId="6" borderId="8" applyAlignment="1" pivotButton="0" quotePrefix="0" xfId="0">
      <alignment horizontal="center" vertical="center" wrapText="1"/>
    </xf>
    <xf numFmtId="0" fontId="0" fillId="0" borderId="3" pivotButton="0" quotePrefix="0" xfId="0"/>
    <xf numFmtId="0" fontId="12" fillId="8" borderId="8" applyAlignment="1" pivotButton="0" quotePrefix="0" xfId="0">
      <alignment horizontal="center" vertical="center" wrapText="1"/>
    </xf>
    <xf numFmtId="0" fontId="13" fillId="9" borderId="8" applyAlignment="1" pivotButton="0" quotePrefix="0" xfId="0">
      <alignment horizontal="center" vertical="center" wrapText="1"/>
    </xf>
    <xf numFmtId="0" fontId="14" fillId="8" borderId="8" applyAlignment="1" pivotButton="0" quotePrefix="0" xfId="0">
      <alignment horizontal="left" vertical="center"/>
    </xf>
    <xf numFmtId="0" fontId="11" fillId="10" borderId="8" applyAlignment="1" pivotButton="0" quotePrefix="0" xfId="0">
      <alignment horizontal="right" vertical="center"/>
    </xf>
    <xf numFmtId="0" fontId="11" fillId="11" borderId="8" applyAlignment="1" pivotButton="0" quotePrefix="0" xfId="0">
      <alignment horizontal="right" vertical="center"/>
    </xf>
    <xf numFmtId="164" fontId="11" fillId="10" borderId="8" applyAlignment="1" pivotButton="0" quotePrefix="0" xfId="0">
      <alignment horizontal="right" vertical="center"/>
    </xf>
    <xf numFmtId="164" fontId="11" fillId="11" borderId="8" applyAlignment="1" pivotButton="0" quotePrefix="0" xfId="0">
      <alignment horizontal="right" vertical="center"/>
    </xf>
    <xf numFmtId="2" fontId="11" fillId="10" borderId="8" applyAlignment="1" pivotButton="0" quotePrefix="0" xfId="0">
      <alignment horizontal="right" vertical="center"/>
    </xf>
    <xf numFmtId="0" fontId="15" fillId="12" borderId="8" applyAlignment="1" pivotButton="0" quotePrefix="0" xfId="0">
      <alignment horizontal="left" vertical="center"/>
    </xf>
    <xf numFmtId="164" fontId="15" fillId="12" borderId="8" applyAlignment="1" pivotButton="0" quotePrefix="0" xfId="0">
      <alignment horizontal="right" vertical="center"/>
    </xf>
    <xf numFmtId="2" fontId="15" fillId="12" borderId="8" applyAlignment="1" pivotButton="0" quotePrefix="0" xfId="0">
      <alignment horizontal="right" vertical="center"/>
    </xf>
    <xf numFmtId="0" fontId="15" fillId="12" borderId="8" applyAlignment="1" pivotButton="0" quotePrefix="0" xfId="0">
      <alignment horizontal="right" vertical="center"/>
    </xf>
    <xf numFmtId="0" fontId="16" fillId="13" borderId="8" applyAlignment="1" pivotButton="0" quotePrefix="0" xfId="0">
      <alignment horizontal="left" vertical="center" wrapText="1"/>
    </xf>
    <xf numFmtId="0" fontId="0" fillId="0" borderId="7" pivotButton="0" quotePrefix="0" xfId="0"/>
    <xf numFmtId="2" fontId="2" fillId="4" borderId="0" pivotButton="0" quotePrefix="0" xfId="0"/>
    <xf numFmtId="164" fontId="2" fillId="4" borderId="0" pivotButton="0" quotePrefix="0" xfId="0"/>
    <xf numFmtId="2" fontId="2" fillId="0" borderId="0" pivotButton="0" quotePrefix="0" xfId="0"/>
    <xf numFmtId="164" fontId="2" fillId="0" borderId="0" pivotButton="0" quotePrefix="0" xfId="0"/>
    <xf numFmtId="2" fontId="2" fillId="0" borderId="4" pivotButton="0" quotePrefix="0" xfId="0"/>
    <xf numFmtId="164" fontId="2" fillId="0" borderId="4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styles.xml" Type="http://schemas.openxmlformats.org/officeDocument/2006/relationships/styles"/><Relationship Id="rId5" Target="theme/theme1.xml" Type="http://schemas.openxmlformats.org/officeDocument/2006/relationships/theme"/><Relationship Id="rId6" Target="sharedStrings.xml" Type="http://schemas.openxmlformats.org/officeDocument/2006/relationships/sharedStrings"/><Relationship Id="rId7" Target="worksheets/sheet4.xml" Type="http://schemas.openxmlformats.org/officeDocument/2006/relationships/worksheet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min="1" max="1" customWidth="true" width="30.0"/>
    <col min="2" max="2" customWidth="true" width="14.0"/>
    <col min="3" max="3" customWidth="true" width="14.0"/>
    <col min="4" max="4" customWidth="true" width="10.0"/>
    <col min="5" max="5" customWidth="true" width="14.0"/>
    <col min="6" max="6" customWidth="true" width="10.0"/>
    <col min="7" max="7" customWidth="true" width="13.0"/>
    <col min="8" max="8" customWidth="true" width="14.0"/>
    <col min="9" max="9" customWidth="true" width="14.0"/>
    <col min="10" max="10" customWidth="true" width="16.0"/>
    <col min="11" max="11" customWidth="true" width="12.0"/>
    <col min="12" max="12" customWidth="true" width="12.0"/>
    <col min="13" max="13" customWidth="true" width="16.0"/>
    <col min="14" max="14" customWidth="true" width="12.0"/>
    <col min="15" max="15" customWidth="true" width="16.0"/>
    <col min="16" max="16" customWidth="true" width="12.0"/>
    <col min="17" max="17" customWidth="true" width="16.0"/>
    <col min="18" max="18" customWidth="true" width="18.0"/>
  </cols>
  <sheetData>
    <row r="1" ht="28" customHeight="1">
      <c r="A1" s="90" t="inlineStr">
        <is>
          <t>GALAXAM — ÉTAT DES CONGÉS PAR PERSONNE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22" customHeight="1">
      <c r="A2" s="91" t="n"/>
      <c r="B2" s="91" t="n"/>
      <c r="C2" s="91" t="n"/>
      <c r="D2" s="91" t="n"/>
      <c r="E2" s="91" t="n"/>
      <c r="F2" s="91" t="n"/>
      <c r="G2" s="91" t="n"/>
      <c r="H2" s="91" t="n"/>
      <c r="I2" s="91" t="n"/>
      <c r="J2" s="91" t="n"/>
      <c r="K2" s="91" t="n"/>
      <c r="L2" s="91" t="n"/>
      <c r="M2" s="91" t="n"/>
      <c r="N2" s="91" t="n"/>
      <c r="O2" s="91" t="n"/>
      <c r="P2" s="91" t="n"/>
      <c r="Q2" s="91" t="n"/>
      <c r="R2" s="91" t="n"/>
    </row>
    <row r="3" ht="18" customHeight="1">
      <c r="A3" s="92" t="s">
        <v>0</v>
      </c>
      <c r="B3" s="93" t="n"/>
      <c r="C3" s="92" t="s">
        <v>1</v>
      </c>
      <c r="D3" s="93" t="n"/>
      <c r="E3" s="93" t="n"/>
      <c r="F3" s="92" t="s">
        <v>2</v>
      </c>
      <c r="G3" s="93" t="n"/>
      <c r="H3" s="92" t="s">
        <v>3</v>
      </c>
      <c r="I3" s="93" t="n"/>
      <c r="J3" s="92" t="s">
        <v>4</v>
      </c>
      <c r="K3" s="93" t="n"/>
      <c r="L3" s="93" t="n"/>
      <c r="M3" s="92" t="s">
        <v>5</v>
      </c>
      <c r="N3" s="93" t="n"/>
      <c r="O3" s="93" t="n"/>
      <c r="P3" s="93" t="n"/>
      <c r="Q3" s="93" t="n"/>
      <c r="R3" s="93" t="n"/>
    </row>
    <row r="4" ht="18" customHeight="1">
      <c r="A4" s="92" t="str"/>
      <c r="B4" s="93" t="n"/>
      <c r="C4" s="93" t="n"/>
      <c r="D4" s="93" t="n"/>
      <c r="E4" s="93" t="n"/>
      <c r="F4" s="93" t="n"/>
      <c r="G4" s="93" t="n"/>
      <c r="H4" s="93" t="n"/>
      <c r="I4" s="93" t="n"/>
      <c r="J4" s="93" t="n"/>
      <c r="K4" s="93" t="n"/>
      <c r="L4" s="93" t="n"/>
      <c r="M4" s="92" t="s">
        <v>6</v>
      </c>
      <c r="N4" s="93" t="n"/>
      <c r="O4" s="92" t="s">
        <v>7</v>
      </c>
      <c r="P4" s="93" t="n"/>
      <c r="Q4" s="93" t="n"/>
      <c r="R4" s="93" t="n"/>
    </row>
    <row r="5" ht="18" customHeight="1">
      <c r="A5" s="94" t="s">
        <v>8</v>
      </c>
      <c r="B5" s="95" t="n"/>
      <c r="C5" s="21" t="s">
        <v>9</v>
      </c>
      <c r="D5" s="95" t="n"/>
      <c r="E5" s="21" t="s">
        <v>10</v>
      </c>
      <c r="F5" s="95" t="n"/>
      <c r="G5" s="21" t="s">
        <v>11</v>
      </c>
      <c r="H5" s="95" t="n"/>
      <c r="I5" s="95" t="n"/>
      <c r="J5" s="21" t="s">
        <v>12</v>
      </c>
      <c r="K5" s="95" t="n"/>
      <c r="L5" s="95" t="n"/>
      <c r="M5" s="21" t="s">
        <v>13</v>
      </c>
      <c r="N5" s="95" t="n"/>
      <c r="O5" s="95" t="n"/>
      <c r="P5" s="95" t="n"/>
    </row>
    <row r="6" ht="40" customHeight="1">
      <c r="A6" s="96" t="s">
        <v>14</v>
      </c>
      <c r="B6" s="96" t="inlineStr">
        <is>
          <t>Salaire de base (Ar)</t>
        </is>
      </c>
      <c r="C6" s="97" t="inlineStr">
        <is>
          <t>Jours base calcul
(formule)</t>
        </is>
      </c>
      <c r="D6" s="96" t="inlineStr">
        <is>
          <t>Absences
(j)</t>
        </is>
      </c>
      <c r="E6" s="96" t="inlineStr">
        <is>
          <t>Retenue
absence (Ar)</t>
        </is>
      </c>
      <c r="F6" s="96" t="inlineStr">
        <is>
          <t>Congés pris
(j)</t>
        </is>
      </c>
      <c r="G6" s="96" t="inlineStr">
        <is>
          <t>TCONGE
applicable (Ar/j)</t>
        </is>
      </c>
      <c r="H6" s="96" t="inlineStr">
        <is>
          <t>Indemnité
congé (Ar)</t>
        </is>
      </c>
      <c r="I6" s="96" t="inlineStr">
        <is>
          <t>HS
rémunérées (Ar)</t>
        </is>
      </c>
      <c r="J6" s="97" t="inlineStr">
        <is>
          <t>Base valo
(sal+HS) (Ar)</t>
        </is>
      </c>
      <c r="K6" s="96" t="inlineStr">
        <is>
          <t>Base activité
(j)</t>
        </is>
      </c>
      <c r="L6" s="96" t="inlineStr">
        <is>
          <t>Droits acquis
(j)</t>
        </is>
      </c>
      <c r="M6" s="96" t="inlineStr">
        <is>
          <t>Valorisation
acquise (Ar)</t>
        </is>
      </c>
      <c r="N6" s="96" t="inlineStr">
        <is>
          <t>Cumul droits
(j)</t>
        </is>
      </c>
      <c r="O6" s="96" t="inlineStr">
        <is>
          <t>Cumul
valo. (Ar)</t>
        </is>
      </c>
      <c r="P6" s="96" t="inlineStr">
        <is>
          <t>Solde dispo.
(j)</t>
        </is>
      </c>
      <c r="Q6" s="96" t="inlineStr">
        <is>
          <t>Valeur stock
historisée (Ar)</t>
        </is>
      </c>
      <c r="R6" s="97" t="s">
        <v>15</v>
      </c>
    </row>
    <row r="7" ht="18" customHeight="1">
      <c r="A7" s="98" t="s">
        <v>16</v>
      </c>
      <c r="B7" s="99" t="n">
        <v>3500000.0</v>
        <is>
          <t>Salaire de base</t>
        </is>
      </c>
      <c r="C7" s="100" t="n">
        <v>30.0</v>
        <is>
          <t>Absence constatée</t>
        </is>
      </c>
      <c r="D7" s="99" t="n">
        <v>0.0</v>
        <is>
          <t>Retenue absence</t>
        </is>
      </c>
      <c r="E7" s="99" t="n">
        <v>0.0</v>
        <is>
          <t>Congés pris (j)</t>
        </is>
      </c>
      <c r="F7" s="99" t="n">
        <v>0.0</v>
        <is>
          <t>TCONGE applicable</t>
        </is>
      </c>
      <c r="G7" s="99" t="n">
        <v>116666.67</v>
        <is>
          <t>Indemnité congé</t>
        </is>
      </c>
      <c r="H7" s="99" t="n">
        <v>0.0</v>
        <is>
          <t>HS rémunérées</t>
        </is>
      </c>
      <c r="I7" s="99" t="n">
        <v>0.0</v>
        <is>
          <t>Assiette droits congé</t>
        </is>
      </c>
      <c r="J7" s="99" t="n">
        <v>3500000.0</v>
        <is>
          <t>Base activité (j)</t>
        </is>
      </c>
      <c r="K7" s="99" t="inlineStr">
        <is>
          <t>Droits acquis (j)</t>
        </is>
      </c>
      <c r="L7" s="99" t="n">
        <v>2.5</v>
        <is>
          <t>Valorisation acquise</t>
        </is>
      </c>
      <c r="M7" s="99" t="n">
        <v>291666.67</v>
        <is>
          <t>Cumul droits (j)</t>
        </is>
      </c>
      <c r="N7" s="99" t="n">
        <v>15.0</v>
        <is>
          <t>Cumul valorisation</t>
        </is>
      </c>
      <c r="O7" s="99" t="n">
        <v>1750000.05</v>
        <is>
          <t>Solde disponible (j)</t>
        </is>
      </c>
      <c r="P7" s="99" t="n">
        <v>15.0</v>
        <is>
          <t>Valeur du solde</t>
        </is>
      </c>
      <c r="Q7" s="99" t="n">
        <v>1750000.05</v>
      </c>
      <c r="R7" s="100" t="n">
        <v>1750000.05</v>
      </c>
    </row>
    <row r="8" ht="18" customHeight="1">
      <c r="A8" s="98" t="s">
        <v>17</v>
      </c>
      <c r="B8" s="101" t="n">
        <v>3500000.0</v>
      </c>
      <c r="C8" s="102" t="n">
        <v>30.0</v>
      </c>
      <c r="D8" s="101" t="n">
        <v>0.0</v>
      </c>
      <c r="E8" s="103" t="n">
        <v>0.0</v>
      </c>
      <c r="F8" s="101" t="n">
        <v>0.0</v>
      </c>
      <c r="G8" s="101" t="n">
        <v>116666.67</v>
      </c>
      <c r="H8" s="101" t="n">
        <v>0.0</v>
      </c>
      <c r="I8" s="101" t="n">
        <v>64616.63</v>
      </c>
      <c r="J8" s="103" t="n">
        <v>3564616.63</v>
      </c>
      <c r="K8" s="103" t="n"/>
      <c r="L8" s="101" t="n">
        <v>2.5</v>
      </c>
      <c r="M8" s="103" t="n">
        <v>297051.39</v>
      </c>
      <c r="N8" s="101" t="n">
        <v>17.5</v>
      </c>
      <c r="O8" s="103" t="n">
        <v>2047051.44</v>
      </c>
      <c r="P8" s="101" t="n">
        <v>17.5</v>
      </c>
      <c r="Q8" s="99" t="n">
        <v>2047051.44</v>
      </c>
      <c r="R8" s="100" t="n">
        <v>2041666.725</v>
      </c>
    </row>
    <row r="9" ht="18" customHeight="1">
      <c r="A9" s="98" t="s">
        <v>18</v>
      </c>
      <c r="B9" s="101" t="n">
        <v>3500000.0</v>
      </c>
      <c r="C9" s="102" t="n">
        <v>30.0</v>
      </c>
      <c r="D9" s="101" t="n">
        <v>0.0</v>
      </c>
      <c r="E9" s="103" t="n">
        <v>0.0</v>
      </c>
      <c r="F9" s="101" t="n">
        <v>0.0</v>
      </c>
      <c r="G9" s="101" t="n">
        <v>116666.67</v>
      </c>
      <c r="H9" s="101" t="n">
        <v>0.0</v>
      </c>
      <c r="I9" s="101" t="n">
        <v>0.0</v>
      </c>
      <c r="J9" s="103" t="n">
        <v>3500000.0</v>
      </c>
      <c r="K9" s="103" t="n"/>
      <c r="L9" s="101" t="n">
        <v>2.5</v>
      </c>
      <c r="M9" s="103" t="n">
        <v>291666.67</v>
      </c>
      <c r="N9" s="101" t="n">
        <v>20.0</v>
      </c>
      <c r="O9" s="103" t="n">
        <v>2338718.11</v>
      </c>
      <c r="P9" s="101" t="n">
        <v>20.0</v>
      </c>
      <c r="Q9" s="99" t="n">
        <v>2338718.11</v>
      </c>
      <c r="R9" s="100" t="n">
        <v>2333333.4</v>
      </c>
    </row>
    <row r="10" ht="18" customHeight="1">
      <c r="A10" s="98" t="s">
        <v>19</v>
      </c>
      <c r="B10" s="101"/>
      <c r="C10" s="102"/>
      <c r="D10" s="101"/>
      <c r="E10" s="103"/>
      <c r="F10" s="101" t="n">
        <v>0.0</v>
      </c>
      <c r="G10" s="101" t="n">
        <v>116666.67</v>
      </c>
      <c r="H10" s="101"/>
      <c r="I10" s="101"/>
      <c r="J10" s="103"/>
      <c r="K10" s="103" t="n"/>
      <c r="L10" s="101"/>
      <c r="M10" s="103"/>
      <c r="N10" s="101"/>
      <c r="O10" s="103"/>
      <c r="P10" s="101" t="n">
        <v>20.0</v>
      </c>
      <c r="Q10" s="99" t="n">
        <v>2338718.11</v>
      </c>
      <c r="R10" s="100" t="n">
        <v>2333333.4</v>
      </c>
    </row>
    <row r="11" ht="18" customHeight="1">
      <c r="A11" s="98" t="s">
        <v>20</v>
      </c>
      <c r="B11" s="101"/>
      <c r="C11" s="102"/>
      <c r="D11" s="101"/>
      <c r="E11" s="103"/>
      <c r="F11" s="101" t="n">
        <v>0.0</v>
      </c>
      <c r="G11" s="101" t="n">
        <v>116666.67</v>
      </c>
      <c r="H11" s="101"/>
      <c r="I11" s="101"/>
      <c r="J11" s="103"/>
      <c r="K11" s="103" t="n"/>
      <c r="L11" s="101"/>
      <c r="M11" s="103"/>
      <c r="N11" s="101"/>
      <c r="O11" s="103"/>
      <c r="P11" s="101" t="n">
        <v>20.0</v>
      </c>
      <c r="Q11" s="99" t="n">
        <v>2338718.11</v>
      </c>
      <c r="R11" s="100" t="n">
        <v>2333333.4</v>
      </c>
    </row>
    <row r="12" ht="18" customHeight="1">
      <c r="A12" s="98" t="s">
        <v>21</v>
      </c>
      <c r="B12" s="101"/>
      <c r="C12" s="102"/>
      <c r="D12" s="101"/>
      <c r="E12" s="103"/>
      <c r="F12" s="101" t="n">
        <v>0.0</v>
      </c>
      <c r="G12" s="101" t="n">
        <v>116666.67</v>
      </c>
      <c r="H12" s="101"/>
      <c r="I12" s="101"/>
      <c r="J12" s="103"/>
      <c r="K12" s="103" t="n"/>
      <c r="L12" s="101"/>
      <c r="M12" s="103"/>
      <c r="N12" s="101"/>
      <c r="O12" s="103"/>
      <c r="P12" s="101" t="n">
        <v>20.0</v>
      </c>
      <c r="Q12" s="99" t="n">
        <v>2338718.11</v>
      </c>
      <c r="R12" s="100" t="n">
        <v>2333333.4</v>
      </c>
    </row>
    <row r="13" ht="18" customHeight="1">
      <c r="A13" s="98" t="s">
        <v>22</v>
      </c>
      <c r="B13" s="101"/>
      <c r="C13" s="102"/>
      <c r="D13" s="101"/>
      <c r="E13" s="103"/>
      <c r="F13" s="101" t="n">
        <v>0.0</v>
      </c>
      <c r="G13" s="101" t="n">
        <v>116666.67</v>
      </c>
      <c r="H13" s="101"/>
      <c r="I13" s="101"/>
      <c r="J13" s="103"/>
      <c r="K13" s="103" t="n"/>
      <c r="L13" s="101"/>
      <c r="M13" s="103"/>
      <c r="N13" s="101"/>
      <c r="O13" s="103"/>
      <c r="P13" s="101" t="n">
        <v>20.0</v>
      </c>
      <c r="Q13" s="99" t="n">
        <v>2338718.11</v>
      </c>
      <c r="R13" s="100" t="n">
        <v>2333333.4</v>
      </c>
    </row>
    <row r="14" ht="18" customHeight="1">
      <c r="A14" s="98" t="s">
        <v>23</v>
      </c>
      <c r="B14" s="101"/>
      <c r="C14" s="102"/>
      <c r="D14" s="101"/>
      <c r="E14" s="103"/>
      <c r="F14" s="101" t="n">
        <v>0.0</v>
      </c>
      <c r="G14" s="101" t="n">
        <v>116666.67</v>
      </c>
      <c r="H14" s="101"/>
      <c r="I14" s="101"/>
      <c r="J14" s="103"/>
      <c r="K14" s="103" t="n"/>
      <c r="L14" s="101"/>
      <c r="M14" s="103"/>
      <c r="N14" s="101"/>
      <c r="O14" s="103"/>
      <c r="P14" s="101" t="n">
        <v>20.0</v>
      </c>
      <c r="Q14" s="99" t="n">
        <v>2338718.11</v>
      </c>
      <c r="R14" s="100" t="n">
        <v>2333333.4</v>
      </c>
    </row>
    <row r="15" ht="18" customHeight="1">
      <c r="A15" s="98" t="s">
        <v>24</v>
      </c>
      <c r="B15" s="101"/>
      <c r="C15" s="102"/>
      <c r="D15" s="101"/>
      <c r="E15" s="103"/>
      <c r="F15" s="101" t="n">
        <v>0.0</v>
      </c>
      <c r="G15" s="101" t="n">
        <v>116666.67</v>
      </c>
      <c r="H15" s="101"/>
      <c r="I15" s="101"/>
      <c r="J15" s="103"/>
      <c r="K15" s="103" t="n"/>
      <c r="L15" s="101"/>
      <c r="M15" s="103"/>
      <c r="N15" s="101"/>
      <c r="O15" s="103"/>
      <c r="P15" s="101" t="n">
        <v>20.0</v>
      </c>
      <c r="Q15" s="99" t="n">
        <v>2338718.11</v>
      </c>
      <c r="R15" s="100" t="n">
        <v>2333333.4</v>
      </c>
    </row>
    <row r="16" ht="18" customHeight="1">
      <c r="A16" s="98" t="s">
        <v>25</v>
      </c>
      <c r="B16" s="101"/>
      <c r="C16" s="102"/>
      <c r="D16" s="101"/>
      <c r="E16" s="103"/>
      <c r="F16" s="101" t="n">
        <v>0.0</v>
      </c>
      <c r="G16" s="101" t="n">
        <v>116666.67</v>
      </c>
      <c r="H16" s="101"/>
      <c r="I16" s="101"/>
      <c r="J16" s="103"/>
      <c r="K16" s="103" t="n"/>
      <c r="L16" s="101"/>
      <c r="M16" s="103"/>
      <c r="N16" s="101"/>
      <c r="O16" s="103"/>
      <c r="P16" s="101" t="n">
        <v>24.0</v>
      </c>
      <c r="Q16" s="99" t="n">
        <v>2805384.79</v>
      </c>
      <c r="R16" s="100" t="n">
        <v>2800000.08</v>
      </c>
    </row>
    <row r="17" ht="18" customHeight="1">
      <c r="A17" s="98" t="s">
        <v>26</v>
      </c>
      <c r="B17" s="101"/>
      <c r="C17" s="102"/>
      <c r="D17" s="101"/>
      <c r="E17" s="103"/>
      <c r="F17" s="101"/>
      <c r="G17" s="101"/>
      <c r="H17" s="101"/>
      <c r="I17" s="101"/>
      <c r="J17" s="103"/>
      <c r="K17" s="103" t="n"/>
      <c r="L17" s="101"/>
      <c r="M17" s="103"/>
      <c r="N17" s="101"/>
      <c r="O17" s="103"/>
      <c r="P17" s="101"/>
      <c r="Q17" s="99"/>
      <c r="R17" s="100" t="n"/>
    </row>
    <row r="18" ht="18" customHeight="1">
      <c r="A18" s="98" t="s">
        <v>27</v>
      </c>
      <c r="B18" s="101"/>
      <c r="C18" s="102"/>
      <c r="D18" s="101"/>
      <c r="E18" s="103"/>
      <c r="F18" s="101"/>
      <c r="G18" s="101"/>
      <c r="H18" s="101"/>
      <c r="I18" s="101"/>
      <c r="J18" s="103"/>
      <c r="K18" s="103" t="n"/>
      <c r="L18" s="101"/>
      <c r="M18" s="103"/>
      <c r="N18" s="101"/>
      <c r="O18" s="103"/>
      <c r="P18" s="101"/>
      <c r="Q18" s="99"/>
      <c r="R18" s="100" t="n"/>
    </row>
    <row r="19" ht="22" customHeight="1">
      <c r="A19" s="104" t="inlineStr">
        <v>TOTAL ENREGISTRÉ / SITUATION</v>
        <is>
          <t>TOTAL ENREGISTRÉ / SITUATION</t>
        </is>
      </c>
      <c r="B19" s="105">
        <f>SUM(B7:B18)</f>
        <v/>
      </c>
      <c r="C19" s="105" t="n"/>
      <c r="D19" s="105">
        <f>SUM(D7:D18)</f>
        <v/>
      </c>
      <c r="E19" s="106">
        <f>SUM(E7:E18)</f>
        <v/>
      </c>
      <c r="F19" s="105">
        <f>SUM(F7:F18)</f>
        <v/>
      </c>
      <c r="G19" s="105" t="n">
        <v>116666.67</v>
      </c>
      <c r="H19" s="105">
        <f>SUM(H7:H18)</f>
        <v/>
      </c>
      <c r="I19" s="105">
        <f>SUM(I7:I18)</f>
        <v/>
      </c>
      <c r="J19" s="106" t="n"/>
      <c r="K19" s="106">
        <f>SUM(K7:K18)</f>
        <v/>
      </c>
      <c r="L19" s="105" t="n"/>
      <c r="M19" s="106">
        <f>SUM(M7:M18)</f>
        <v/>
      </c>
      <c r="N19" s="105" t="n">
        <f>SUM(N7:N18)</f>
        <v>20.0</v>
      </c>
      <c r="O19" s="106" t="n">
        <v>2338718.11</v>
      </c>
      <c r="P19" s="105" t="n">
        <v>24.0</v>
      </c>
      <c r="Q19" s="107" t="n">
        <v>2805384.79</v>
      </c>
      <c r="R19" s="107" t="n">
        <v>2800000.08</v>
      </c>
    </row>
    <row r="20" ht="40" customHeight="1">
      <c r="A20" s="108" t="inlineStr">
        <v>Données enregistrées dans le SIRH à la date de situation. Col C (verte) = jours base calcul = 'formule' de l'OHATRA DAF. Col R (verte) = Solde × TCONGE (estimation simple pour cross-check DAF). Col Q = valeur FIFO historisée (plus précise). Taux indisponibles = vide.</v>
        <is>
          <t>Données enregistrées dans le SIRH à la date de situation. Les colonnes vertes (Jours base calcul, Solde×TCONGE estimation) correspondent aux colonnes 'formule' et 'Solde×taux' de l'OHATRA DAF. La valeur stock historisée (col Q) est calculée par FIFO depuis les lots de droits ; l'estimation simple (col R = Solde × TCONGE) sert au cross-check DAF.</t>
        </is>
      </c>
      <c r="B20" s="109" t="n"/>
      <c r="C20" s="109" t="n"/>
      <c r="D20" s="109" t="n"/>
      <c r="E20" s="109" t="n"/>
      <c r="F20" s="109" t="n"/>
      <c r="G20" s="109" t="n"/>
      <c r="H20" s="109" t="n"/>
      <c r="I20" s="109" t="n"/>
      <c r="J20" s="109" t="n"/>
      <c r="K20" s="109" t="n"/>
      <c r="L20" s="109" t="n"/>
      <c r="M20" s="109" t="n"/>
      <c r="N20" s="109" t="n"/>
      <c r="O20" s="109" t="n"/>
      <c r="P20" s="109" t="n"/>
      <c r="Q20" s="109" t="n"/>
      <c r="R20" s="109" t="n"/>
    </row>
    <row r="22" ht="32" customHeight="1">
      <c r="A22" s="53" t="inlineStr">
        <is>
          <t>Principe : les droits, valorisations, TCONGE et soldes sont calculés/historisés par le SIRH. Cet état les restitue ; seules les totalisations de présentation peuvent être des formules Excel.</t>
        </is>
      </c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</row>
  </sheetData>
  <mergeCells count="19">
    <mergeCell ref="M3:P3"/>
    <mergeCell ref="C5:D5"/>
    <mergeCell ref="E5:F5"/>
    <mergeCell ref="A22:P22"/>
    <mergeCell ref="F3:G3"/>
    <mergeCell ref="G5:I5"/>
    <mergeCell ref="O4:P4"/>
    <mergeCell ref="A3:B3"/>
    <mergeCell ref="J3:L3"/>
    <mergeCell ref="A4:L4"/>
    <mergeCell ref="M5:P5"/>
    <mergeCell ref="A20:R20"/>
    <mergeCell ref="A1:P1"/>
    <mergeCell ref="A5:B5"/>
    <mergeCell ref="C3:E3"/>
    <mergeCell ref="H3:I3"/>
    <mergeCell ref="J5:L5"/>
    <mergeCell ref="A1:R1"/>
    <mergeCell ref="M4:N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pane ySplit="3.0" state="frozen" topLeftCell="A4" activePane="bottomLeft"/>
      <selection pane="bottomLeft"/>
    </sheetView>
  </sheetViews>
  <sheetFormatPr baseColWidth="8" defaultRowHeight="15"/>
  <cols>
    <col min="1" max="1" customWidth="true" width="14.0"/>
    <col min="2" max="2" customWidth="true" width="18.0"/>
    <col min="3" max="3" customWidth="true" width="18.0"/>
    <col min="4" max="4" customWidth="true" width="34.0"/>
    <col min="5" max="5" customWidth="true" width="12.0"/>
    <col min="6" max="6" customWidth="true" width="12.0"/>
    <col min="7" max="7" customWidth="true" width="18.0"/>
    <col min="8" max="8" customWidth="true" width="17.0"/>
    <col min="9" max="9" customWidth="true" width="18.0"/>
    <col min="10" max="10" customWidth="true" width="24.0"/>
  </cols>
  <sheetData>
    <row r="1" ht="24" customHeight="1">
      <c r="A1" s="71" t="inlineStr">
        <is>
          <t>GALAXAM — HISTORIQUE DES MOUVEMENTS DE CONGÉS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36" customHeight="1">
      <c r="A2" s="94" t="n"/>
      <c r="B2" s="94" t="n"/>
      <c r="C2" s="94" t="n"/>
      <c r="D2" s="94" t="n"/>
      <c r="E2" s="94" t="n"/>
      <c r="F2" s="94" t="n"/>
      <c r="G2" s="94" t="n"/>
      <c r="H2" s="94" t="n"/>
      <c r="I2" s="94" t="inlineStr">
        <is>
          <t>Valeur du stock après mvt (Ar)</t>
        </is>
      </c>
      <c r="J2" s="94" t="inlineStr">
        <is>
          <t>Origine / provenance</t>
        </is>
      </c>
    </row>
    <row r="3">
      <c r="A3" s="24" t="inlineStr">
        <is>
          <t>Date</t>
        </is>
      </c>
      <c r="B3" s="24" t="inlineStr">
        <is>
          <t>Type mouvement</t>
        </is>
      </c>
      <c r="C3" s="24" t="inlineStr">
        <is>
          <t>Référence demande</t>
        </is>
      </c>
      <c r="D3" s="24" t="inlineStr">
        <is>
          <t>Libellé / commentaire</t>
        </is>
      </c>
      <c r="E3" s="24" t="inlineStr">
        <is>
          <t>Crédit (j)</t>
        </is>
      </c>
      <c r="F3" s="24" t="inlineStr">
        <is>
          <t>Débit (j)</t>
        </is>
      </c>
      <c r="G3" s="24" t="inlineStr">
        <is>
          <t>Solde après mouvement (j)</t>
        </is>
      </c>
      <c r="H3" s="24" t="inlineStr">
        <is>
          <t>TCONGE applicable</t>
        </is>
      </c>
      <c r="I3" s="24" t="s">
        <v>44</v>
      </c>
      <c r="J3" s="24" t="inlineStr">
        <is>
          <t>Origine / provenance</t>
        </is>
      </c>
    </row>
    <row r="4">
      <c r="A4" s="32" t="s">
        <v>28</v>
      </c>
      <c r="B4" s="32" t="s">
        <v>29</v>
      </c>
      <c r="C4" s="32" t="s">
        <v>30</v>
      </c>
      <c r="D4" s="32" t="s">
        <v>31</v>
      </c>
      <c r="E4" s="110" t="n">
        <v>12.5</v>
      </c>
      <c r="F4" s="110" t="n">
        <v>0.0</v>
      </c>
      <c r="G4" s="110" t="n">
        <v>12.5</v>
      </c>
      <c r="H4" s="111" t="n">
        <v>116666.67</v>
      </c>
      <c r="I4" s="111" t="n">
        <v>1458333.38</v>
      </c>
      <c r="J4" s="32" t="s">
        <v>32</v>
      </c>
    </row>
    <row r="5">
      <c r="A5" s="33" t="s">
        <v>33</v>
      </c>
      <c r="B5" s="33" t="s">
        <v>34</v>
      </c>
      <c r="C5" s="33" t="s">
        <v>35</v>
      </c>
      <c r="D5" s="33" t="s">
        <v>36</v>
      </c>
      <c r="E5" s="112" t="n">
        <v>2.5</v>
      </c>
      <c r="F5" s="112" t="n">
        <v>0.0</v>
      </c>
      <c r="G5" s="112" t="n">
        <v>15.0</v>
      </c>
      <c r="H5" s="113" t="n">
        <v>116666.67</v>
      </c>
      <c r="I5" s="113" t="n">
        <v>1750000.05</v>
      </c>
      <c r="J5" s="33" t="s">
        <v>37</v>
      </c>
    </row>
    <row r="6">
      <c r="A6" s="32" t="s">
        <v>38</v>
      </c>
      <c r="B6" s="32" t="s">
        <v>34</v>
      </c>
      <c r="C6" s="32" t="s">
        <v>35</v>
      </c>
      <c r="D6" s="32" t="s">
        <v>36</v>
      </c>
      <c r="E6" s="110" t="n">
        <v>2.5</v>
      </c>
      <c r="F6" s="110" t="n">
        <v>0.0</v>
      </c>
      <c r="G6" s="110" t="n">
        <v>17.5</v>
      </c>
      <c r="H6" s="111" t="n">
        <v>116666.67</v>
      </c>
      <c r="I6" s="111" t="n">
        <v>2047051.44</v>
      </c>
      <c r="J6" s="32" t="s">
        <v>37</v>
      </c>
    </row>
    <row r="7">
      <c r="A7" s="33" t="s">
        <v>39</v>
      </c>
      <c r="B7" s="33" t="s">
        <v>34</v>
      </c>
      <c r="C7" s="33" t="s">
        <v>35</v>
      </c>
      <c r="D7" s="33" t="s">
        <v>36</v>
      </c>
      <c r="E7" s="112" t="n">
        <v>2.5</v>
      </c>
      <c r="F7" s="112" t="n">
        <v>0.0</v>
      </c>
      <c r="G7" s="112" t="n">
        <v>20.0</v>
      </c>
      <c r="H7" s="113" t="n">
        <v>116666.67</v>
      </c>
      <c r="I7" s="113" t="n">
        <v>2338718.11</v>
      </c>
      <c r="J7" s="33" t="s">
        <v>37</v>
      </c>
    </row>
    <row r="8">
      <c r="A8" s="32" t="s">
        <v>40</v>
      </c>
      <c r="B8" s="32" t="s">
        <v>41</v>
      </c>
      <c r="C8" s="32" t="s">
        <v>35</v>
      </c>
      <c r="D8" s="32" t="s">
        <v>42</v>
      </c>
      <c r="E8" s="110" t="n">
        <v>4.0</v>
      </c>
      <c r="F8" s="110" t="n">
        <v>0.0</v>
      </c>
      <c r="G8" s="110" t="n">
        <v>24.0</v>
      </c>
      <c r="H8" s="111" t="n">
        <v>116666.67</v>
      </c>
      <c r="I8" s="111" t="n">
        <v>2805384.79</v>
      </c>
      <c r="J8" s="32" t="s">
        <v>43</v>
      </c>
    </row>
    <row r="9">
      <c r="A9" s="33" t="n"/>
      <c r="B9" s="33" t="n"/>
      <c r="C9" s="33" t="n"/>
      <c r="D9" s="33" t="n"/>
      <c r="E9" s="112" t="n"/>
      <c r="F9" s="112" t="n"/>
      <c r="G9" s="112" t="n"/>
      <c r="H9" s="113" t="n"/>
      <c r="I9" s="113" t="n"/>
      <c r="J9" s="33" t="n"/>
    </row>
    <row r="10">
      <c r="A10" s="32" t="n"/>
      <c r="B10" s="32" t="n"/>
      <c r="C10" s="32" t="n"/>
      <c r="D10" s="32" t="n"/>
      <c r="E10" s="110" t="n"/>
      <c r="F10" s="110" t="n"/>
      <c r="G10" s="110" t="n"/>
      <c r="H10" s="111" t="n"/>
      <c r="I10" s="111" t="n"/>
      <c r="J10" s="32" t="n"/>
    </row>
    <row r="11">
      <c r="A11" s="33" t="n"/>
      <c r="B11" s="33" t="n"/>
      <c r="C11" s="33" t="n"/>
      <c r="D11" s="33" t="n"/>
      <c r="E11" s="112" t="n"/>
      <c r="F11" s="112" t="n"/>
      <c r="G11" s="112" t="n"/>
      <c r="H11" s="113" t="n"/>
      <c r="I11" s="113" t="n"/>
      <c r="J11" s="33" t="n"/>
    </row>
    <row r="12">
      <c r="A12" s="32" t="n"/>
      <c r="B12" s="32" t="n"/>
      <c r="C12" s="32" t="n"/>
      <c r="D12" s="32" t="n"/>
      <c r="E12" s="110" t="n"/>
      <c r="F12" s="110" t="n"/>
      <c r="G12" s="110" t="n"/>
      <c r="H12" s="111" t="n"/>
      <c r="I12" s="111" t="n"/>
      <c r="J12" s="32" t="n"/>
    </row>
    <row r="13">
      <c r="A13" s="33" t="n"/>
      <c r="B13" s="33" t="n"/>
      <c r="C13" s="33" t="n"/>
      <c r="D13" s="33" t="n"/>
      <c r="E13" s="112" t="n"/>
      <c r="F13" s="112" t="n"/>
      <c r="G13" s="112" t="n"/>
      <c r="H13" s="113" t="n"/>
      <c r="I13" s="113" t="n"/>
      <c r="J13" s="33" t="n"/>
    </row>
    <row r="14">
      <c r="A14" s="32" t="n"/>
      <c r="B14" s="32" t="n"/>
      <c r="C14" s="32" t="n"/>
      <c r="D14" s="32" t="n"/>
      <c r="E14" s="110" t="n"/>
      <c r="F14" s="110" t="n"/>
      <c r="G14" s="110" t="n"/>
      <c r="H14" s="111" t="n"/>
      <c r="I14" s="111" t="n"/>
      <c r="J14" s="32" t="n"/>
    </row>
    <row r="15">
      <c r="A15" s="33" t="n"/>
      <c r="B15" s="33" t="n"/>
      <c r="C15" s="33" t="n"/>
      <c r="D15" s="33" t="n"/>
      <c r="E15" s="112" t="n"/>
      <c r="F15" s="112" t="n"/>
      <c r="G15" s="112" t="n"/>
      <c r="H15" s="113" t="n"/>
      <c r="I15" s="113" t="n"/>
      <c r="J15" s="33" t="n"/>
    </row>
    <row r="16">
      <c r="A16" s="32" t="n"/>
      <c r="B16" s="32" t="n"/>
      <c r="C16" s="32" t="n"/>
      <c r="D16" s="32" t="n"/>
      <c r="E16" s="110" t="n"/>
      <c r="F16" s="110" t="n"/>
      <c r="G16" s="110" t="n"/>
      <c r="H16" s="111" t="n"/>
      <c r="I16" s="111" t="n"/>
      <c r="J16" s="32" t="n"/>
    </row>
    <row r="17">
      <c r="A17" s="33" t="n"/>
      <c r="B17" s="33" t="n"/>
      <c r="C17" s="33" t="n"/>
      <c r="D17" s="33" t="n"/>
      <c r="E17" s="112" t="n"/>
      <c r="F17" s="112" t="n"/>
      <c r="G17" s="112" t="n"/>
      <c r="H17" s="113" t="n"/>
      <c r="I17" s="113" t="n"/>
      <c r="J17" s="33" t="n"/>
    </row>
    <row r="18">
      <c r="A18" s="32" t="n"/>
      <c r="B18" s="32" t="n"/>
      <c r="C18" s="32" t="n"/>
      <c r="D18" s="32" t="n"/>
      <c r="E18" s="110" t="n"/>
      <c r="F18" s="110" t="n"/>
      <c r="G18" s="110" t="n"/>
      <c r="H18" s="111" t="n"/>
      <c r="I18" s="111" t="n"/>
      <c r="J18" s="32" t="n"/>
    </row>
    <row r="19">
      <c r="A19" s="33" t="n"/>
      <c r="B19" s="33" t="n"/>
      <c r="C19" s="33" t="n"/>
      <c r="D19" s="33" t="n"/>
      <c r="E19" s="112" t="n"/>
      <c r="F19" s="112" t="n"/>
      <c r="G19" s="112" t="n"/>
      <c r="H19" s="113" t="n"/>
      <c r="I19" s="113" t="n"/>
      <c r="J19" s="33" t="n"/>
    </row>
    <row r="20">
      <c r="A20" s="32" t="n"/>
      <c r="B20" s="32" t="n"/>
      <c r="C20" s="32" t="n"/>
      <c r="D20" s="32" t="n"/>
      <c r="E20" s="110" t="n"/>
      <c r="F20" s="110" t="n"/>
      <c r="G20" s="110" t="n"/>
      <c r="H20" s="111" t="n"/>
      <c r="I20" s="111" t="n"/>
      <c r="J20" s="32" t="n"/>
    </row>
    <row r="21">
      <c r="A21" s="33" t="n"/>
      <c r="B21" s="33" t="n"/>
      <c r="C21" s="33" t="n"/>
      <c r="D21" s="33" t="n"/>
      <c r="E21" s="112" t="n"/>
      <c r="F21" s="112" t="n"/>
      <c r="G21" s="112" t="n"/>
      <c r="H21" s="113" t="n"/>
      <c r="I21" s="113" t="n"/>
      <c r="J21" s="33" t="n"/>
    </row>
    <row r="22">
      <c r="A22" s="32" t="n"/>
      <c r="B22" s="32" t="n"/>
      <c r="C22" s="32" t="n"/>
      <c r="D22" s="32" t="n"/>
      <c r="E22" s="110" t="n"/>
      <c r="F22" s="110" t="n"/>
      <c r="G22" s="110" t="n"/>
      <c r="H22" s="111" t="n"/>
      <c r="I22" s="111" t="n"/>
      <c r="J22" s="32" t="n"/>
    </row>
    <row r="23">
      <c r="A23" s="33" t="n"/>
      <c r="B23" s="33" t="n"/>
      <c r="C23" s="33" t="n"/>
      <c r="D23" s="33" t="n"/>
      <c r="E23" s="112" t="n"/>
      <c r="F23" s="112" t="n"/>
      <c r="G23" s="112" t="n"/>
      <c r="H23" s="113" t="n"/>
      <c r="I23" s="113" t="n"/>
      <c r="J23" s="33" t="n"/>
    </row>
    <row r="24">
      <c r="A24" s="32" t="n"/>
      <c r="B24" s="32" t="n"/>
      <c r="C24" s="32" t="n"/>
      <c r="D24" s="32" t="n"/>
      <c r="E24" s="110" t="n"/>
      <c r="F24" s="110" t="n"/>
      <c r="G24" s="110" t="n"/>
      <c r="H24" s="111" t="n"/>
      <c r="I24" s="111" t="n"/>
      <c r="J24" s="32" t="n"/>
    </row>
    <row r="25">
      <c r="A25" s="33" t="n"/>
      <c r="B25" s="33" t="n"/>
      <c r="C25" s="33" t="n"/>
      <c r="D25" s="33" t="n"/>
      <c r="E25" s="112" t="n"/>
      <c r="F25" s="112" t="n"/>
      <c r="G25" s="112" t="n"/>
      <c r="H25" s="113" t="n"/>
      <c r="I25" s="113" t="n"/>
      <c r="J25" s="33" t="n"/>
    </row>
    <row r="26">
      <c r="A26" s="32" t="n"/>
      <c r="B26" s="32" t="n"/>
      <c r="C26" s="32" t="n"/>
      <c r="D26" s="32" t="n"/>
      <c r="E26" s="110" t="n"/>
      <c r="F26" s="110" t="n"/>
      <c r="G26" s="110" t="n"/>
      <c r="H26" s="111" t="n"/>
      <c r="I26" s="111" t="n"/>
      <c r="J26" s="32" t="n"/>
    </row>
    <row r="27">
      <c r="A27" s="33" t="n"/>
      <c r="B27" s="33" t="n"/>
      <c r="C27" s="33" t="n"/>
      <c r="D27" s="33" t="n"/>
      <c r="E27" s="112" t="n"/>
      <c r="F27" s="112" t="n"/>
      <c r="G27" s="112" t="n"/>
      <c r="H27" s="113" t="n"/>
      <c r="I27" s="113" t="n"/>
      <c r="J27" s="33" t="n"/>
    </row>
    <row r="28">
      <c r="A28" s="32" t="n"/>
      <c r="B28" s="32" t="n"/>
      <c r="C28" s="32" t="n"/>
      <c r="D28" s="32" t="n"/>
      <c r="E28" s="110" t="n"/>
      <c r="F28" s="110" t="n"/>
      <c r="G28" s="110" t="n"/>
      <c r="H28" s="111" t="n"/>
      <c r="I28" s="111" t="n"/>
      <c r="J28" s="32" t="n"/>
    </row>
    <row r="29">
      <c r="A29" s="33" t="n"/>
      <c r="B29" s="33" t="n"/>
      <c r="C29" s="33" t="n"/>
      <c r="D29" s="33" t="n"/>
      <c r="E29" s="112" t="n"/>
      <c r="F29" s="112" t="n"/>
      <c r="G29" s="112" t="n"/>
      <c r="H29" s="113" t="n"/>
      <c r="I29" s="113" t="n"/>
      <c r="J29" s="33" t="n"/>
    </row>
    <row r="30">
      <c r="A30" s="32" t="n"/>
      <c r="B30" s="32" t="n"/>
      <c r="C30" s="32" t="n"/>
      <c r="D30" s="32" t="n"/>
      <c r="E30" s="110" t="n"/>
      <c r="F30" s="110" t="n"/>
      <c r="G30" s="110" t="n"/>
      <c r="H30" s="111" t="n"/>
      <c r="I30" s="111" t="n"/>
      <c r="J30" s="32" t="n"/>
    </row>
    <row r="31">
      <c r="A31" s="33" t="n"/>
      <c r="B31" s="33" t="n"/>
      <c r="C31" s="33" t="n"/>
      <c r="D31" s="33" t="n"/>
      <c r="E31" s="112" t="n"/>
      <c r="F31" s="112" t="n"/>
      <c r="G31" s="112" t="n"/>
      <c r="H31" s="113" t="n"/>
      <c r="I31" s="113" t="n"/>
      <c r="J31" s="33" t="n"/>
    </row>
    <row r="32">
      <c r="A32" s="32" t="n"/>
      <c r="B32" s="32" t="n"/>
      <c r="C32" s="32" t="n"/>
      <c r="D32" s="32" t="n"/>
      <c r="E32" s="110" t="n"/>
      <c r="F32" s="110" t="n"/>
      <c r="G32" s="110" t="n"/>
      <c r="H32" s="111" t="n"/>
      <c r="I32" s="111" t="n"/>
      <c r="J32" s="32" t="n"/>
    </row>
    <row r="33">
      <c r="A33" s="33" t="n"/>
      <c r="B33" s="33" t="n"/>
      <c r="C33" s="33" t="n"/>
      <c r="D33" s="33" t="n"/>
      <c r="E33" s="112" t="n"/>
      <c r="F33" s="112" t="n"/>
      <c r="G33" s="112" t="n"/>
      <c r="H33" s="113" t="n"/>
      <c r="I33" s="113" t="n"/>
      <c r="J33" s="33" t="n"/>
    </row>
    <row r="34">
      <c r="A34" s="32" t="n"/>
      <c r="B34" s="32" t="n"/>
      <c r="C34" s="32" t="n"/>
      <c r="D34" s="32" t="n"/>
      <c r="E34" s="110" t="n"/>
      <c r="F34" s="110" t="n"/>
      <c r="G34" s="110" t="n"/>
      <c r="H34" s="111" t="n"/>
      <c r="I34" s="111" t="n"/>
      <c r="J34" s="32" t="n"/>
    </row>
    <row r="35">
      <c r="A35" s="33" t="n"/>
      <c r="B35" s="33" t="n"/>
      <c r="C35" s="33" t="n"/>
      <c r="D35" s="33" t="n"/>
      <c r="E35" s="112" t="n"/>
      <c r="F35" s="112" t="n"/>
      <c r="G35" s="112" t="n"/>
      <c r="H35" s="113" t="n"/>
      <c r="I35" s="113" t="n"/>
      <c r="J35" s="33" t="n"/>
    </row>
    <row r="36">
      <c r="A36" s="32" t="n"/>
      <c r="B36" s="32" t="n"/>
      <c r="C36" s="32" t="n"/>
      <c r="D36" s="32" t="n"/>
      <c r="E36" s="110" t="n"/>
      <c r="F36" s="110" t="n"/>
      <c r="G36" s="110" t="n"/>
      <c r="H36" s="111" t="n"/>
      <c r="I36" s="111" t="n"/>
      <c r="J36" s="32" t="n"/>
    </row>
    <row r="37">
      <c r="A37" s="33" t="n"/>
      <c r="B37" s="33" t="n"/>
      <c r="C37" s="33" t="n"/>
      <c r="D37" s="33" t="n"/>
      <c r="E37" s="112" t="n"/>
      <c r="F37" s="112" t="n"/>
      <c r="G37" s="112" t="n"/>
      <c r="H37" s="113" t="n"/>
      <c r="I37" s="113" t="n"/>
      <c r="J37" s="33" t="n"/>
    </row>
    <row r="38">
      <c r="A38" s="32" t="n"/>
      <c r="B38" s="32" t="n"/>
      <c r="C38" s="32" t="n"/>
      <c r="D38" s="32" t="n"/>
      <c r="E38" s="110" t="n"/>
      <c r="F38" s="110" t="n"/>
      <c r="G38" s="110" t="n"/>
      <c r="H38" s="111" t="n"/>
      <c r="I38" s="111" t="n"/>
      <c r="J38" s="32" t="n"/>
    </row>
    <row r="39">
      <c r="A39" s="33" t="n"/>
      <c r="B39" s="33" t="n"/>
      <c r="C39" s="33" t="n"/>
      <c r="D39" s="33" t="n"/>
      <c r="E39" s="112" t="n"/>
      <c r="F39" s="112" t="n"/>
      <c r="G39" s="112" t="n"/>
      <c r="H39" s="113" t="n"/>
      <c r="I39" s="113" t="n"/>
      <c r="J39" s="33" t="n"/>
    </row>
    <row r="40">
      <c r="A40" s="32" t="n"/>
      <c r="B40" s="32" t="n"/>
      <c r="C40" s="32" t="n"/>
      <c r="D40" s="32" t="n"/>
      <c r="E40" s="110" t="n"/>
      <c r="F40" s="110" t="n"/>
      <c r="G40" s="110" t="n"/>
      <c r="H40" s="111" t="n"/>
      <c r="I40" s="111" t="n"/>
      <c r="J40" s="32" t="n"/>
    </row>
    <row r="41">
      <c r="A41" s="33" t="n"/>
      <c r="B41" s="33" t="n"/>
      <c r="C41" s="33" t="n"/>
      <c r="D41" s="33" t="n"/>
      <c r="E41" s="112" t="n"/>
      <c r="F41" s="112" t="n"/>
      <c r="G41" s="112" t="n"/>
      <c r="H41" s="113" t="n"/>
      <c r="I41" s="113" t="n"/>
      <c r="J41" s="33" t="n"/>
    </row>
    <row r="42">
      <c r="A42" s="32" t="n"/>
      <c r="B42" s="32" t="n"/>
      <c r="C42" s="32" t="n"/>
      <c r="D42" s="32" t="n"/>
      <c r="E42" s="110" t="n"/>
      <c r="F42" s="110" t="n"/>
      <c r="G42" s="110" t="n"/>
      <c r="H42" s="111" t="n"/>
      <c r="I42" s="111" t="n"/>
      <c r="J42" s="32" t="n"/>
    </row>
    <row r="43">
      <c r="A43" s="33" t="n"/>
      <c r="B43" s="33" t="n"/>
      <c r="C43" s="33" t="n"/>
      <c r="D43" s="33" t="n"/>
      <c r="E43" s="112" t="n"/>
      <c r="F43" s="112" t="n"/>
      <c r="G43" s="112" t="n"/>
      <c r="H43" s="113" t="n"/>
      <c r="I43" s="113" t="n"/>
      <c r="J43" s="33" t="n"/>
    </row>
    <row r="44">
      <c r="A44" s="32" t="n"/>
      <c r="B44" s="32" t="n"/>
      <c r="C44" s="32" t="n"/>
      <c r="D44" s="32" t="n"/>
      <c r="E44" s="110" t="n"/>
      <c r="F44" s="110" t="n"/>
      <c r="G44" s="110" t="n"/>
      <c r="H44" s="111" t="n"/>
      <c r="I44" s="111" t="n"/>
      <c r="J44" s="32" t="n"/>
    </row>
    <row r="45">
      <c r="A45" s="33" t="n"/>
      <c r="B45" s="33" t="n"/>
      <c r="C45" s="33" t="n"/>
      <c r="D45" s="33" t="n"/>
      <c r="E45" s="112" t="n"/>
      <c r="F45" s="112" t="n"/>
      <c r="G45" s="112" t="n"/>
      <c r="H45" s="113" t="n"/>
      <c r="I45" s="113" t="n"/>
      <c r="J45" s="33" t="n"/>
    </row>
    <row r="46">
      <c r="A46" s="32" t="n"/>
      <c r="B46" s="32" t="n"/>
      <c r="C46" s="32" t="n"/>
      <c r="D46" s="32" t="n"/>
      <c r="E46" s="110" t="n"/>
      <c r="F46" s="110" t="n"/>
      <c r="G46" s="110" t="n"/>
      <c r="H46" s="111" t="n"/>
      <c r="I46" s="111" t="n"/>
      <c r="J46" s="32" t="n"/>
    </row>
    <row r="47">
      <c r="A47" s="33" t="n"/>
      <c r="B47" s="33" t="n"/>
      <c r="C47" s="33" t="n"/>
      <c r="D47" s="33" t="n"/>
      <c r="E47" s="112" t="n"/>
      <c r="F47" s="112" t="n"/>
      <c r="G47" s="112" t="n"/>
      <c r="H47" s="113" t="n"/>
      <c r="I47" s="113" t="n"/>
      <c r="J47" s="33" t="n"/>
    </row>
    <row r="48">
      <c r="A48" s="32" t="n"/>
      <c r="B48" s="32" t="n"/>
      <c r="C48" s="32" t="n"/>
      <c r="D48" s="32" t="n"/>
      <c r="E48" s="110" t="n"/>
      <c r="F48" s="110" t="n"/>
      <c r="G48" s="110" t="n"/>
      <c r="H48" s="111" t="n"/>
      <c r="I48" s="111" t="n"/>
      <c r="J48" s="32" t="n"/>
    </row>
    <row r="49">
      <c r="A49" s="33" t="n"/>
      <c r="B49" s="33" t="n"/>
      <c r="C49" s="33" t="n"/>
      <c r="D49" s="33" t="n"/>
      <c r="E49" s="112" t="n"/>
      <c r="F49" s="112" t="n"/>
      <c r="G49" s="112" t="n"/>
      <c r="H49" s="113" t="n"/>
      <c r="I49" s="113" t="n"/>
      <c r="J49" s="33" t="n"/>
    </row>
    <row r="50">
      <c r="A50" s="32" t="n"/>
      <c r="B50" s="32" t="n"/>
      <c r="C50" s="32" t="n"/>
      <c r="D50" s="32" t="n"/>
      <c r="E50" s="110" t="n"/>
      <c r="F50" s="110" t="n"/>
      <c r="G50" s="110" t="n"/>
      <c r="H50" s="111" t="n"/>
      <c r="I50" s="111" t="n"/>
      <c r="J50" s="32" t="n"/>
    </row>
    <row r="51">
      <c r="A51" s="33" t="n"/>
      <c r="B51" s="33" t="n"/>
      <c r="C51" s="33" t="n"/>
      <c r="D51" s="33" t="n"/>
      <c r="E51" s="112" t="n"/>
      <c r="F51" s="112" t="n"/>
      <c r="G51" s="112" t="n"/>
      <c r="H51" s="113" t="n"/>
      <c r="I51" s="113" t="n"/>
      <c r="J51" s="33" t="n"/>
    </row>
    <row r="52">
      <c r="A52" s="32" t="n"/>
      <c r="B52" s="32" t="n"/>
      <c r="C52" s="32" t="n"/>
      <c r="D52" s="32" t="n"/>
      <c r="E52" s="110" t="n"/>
      <c r="F52" s="110" t="n"/>
      <c r="G52" s="110" t="n"/>
      <c r="H52" s="111" t="n"/>
      <c r="I52" s="111" t="n"/>
      <c r="J52" s="32" t="n"/>
    </row>
    <row r="53">
      <c r="A53" s="33" t="n"/>
      <c r="B53" s="33" t="n"/>
      <c r="C53" s="33" t="n"/>
      <c r="D53" s="33" t="n"/>
      <c r="E53" s="112" t="n"/>
      <c r="F53" s="112" t="n"/>
      <c r="G53" s="112" t="n"/>
      <c r="H53" s="113" t="n"/>
      <c r="I53" s="113" t="n"/>
      <c r="J53" s="33" t="n"/>
    </row>
    <row r="54">
      <c r="A54" s="32" t="n"/>
      <c r="B54" s="32" t="n"/>
      <c r="C54" s="32" t="n"/>
      <c r="D54" s="32" t="n"/>
      <c r="E54" s="110" t="n"/>
      <c r="F54" s="110" t="n"/>
      <c r="G54" s="110" t="n"/>
      <c r="H54" s="111" t="n"/>
      <c r="I54" s="111" t="n"/>
      <c r="J54" s="32" t="n"/>
    </row>
    <row r="55">
      <c r="A55" s="33" t="n"/>
      <c r="B55" s="33" t="n"/>
      <c r="C55" s="33" t="n"/>
      <c r="D55" s="33" t="n"/>
      <c r="E55" s="112" t="n"/>
      <c r="F55" s="112" t="n"/>
      <c r="G55" s="112" t="n"/>
      <c r="H55" s="113" t="n"/>
      <c r="I55" s="113" t="n"/>
      <c r="J55" s="33" t="n"/>
    </row>
    <row r="56">
      <c r="A56" s="32" t="n"/>
      <c r="B56" s="32" t="n"/>
      <c r="C56" s="32" t="n"/>
      <c r="D56" s="32" t="n"/>
      <c r="E56" s="110" t="n"/>
      <c r="F56" s="110" t="n"/>
      <c r="G56" s="110" t="n"/>
      <c r="H56" s="111" t="n"/>
      <c r="I56" s="111" t="n"/>
      <c r="J56" s="32" t="n"/>
    </row>
    <row r="57">
      <c r="A57" s="33" t="n"/>
      <c r="B57" s="33" t="n"/>
      <c r="C57" s="33" t="n"/>
      <c r="D57" s="33" t="n"/>
      <c r="E57" s="112" t="n"/>
      <c r="F57" s="112" t="n"/>
      <c r="G57" s="112" t="n"/>
      <c r="H57" s="113" t="n"/>
      <c r="I57" s="113" t="n"/>
      <c r="J57" s="33" t="n"/>
    </row>
    <row r="58">
      <c r="A58" s="32" t="n"/>
      <c r="B58" s="32" t="n"/>
      <c r="C58" s="32" t="n"/>
      <c r="D58" s="32" t="n"/>
      <c r="E58" s="110" t="n"/>
      <c r="F58" s="110" t="n"/>
      <c r="G58" s="110" t="n"/>
      <c r="H58" s="111" t="n"/>
      <c r="I58" s="111" t="n"/>
      <c r="J58" s="32" t="n"/>
    </row>
    <row r="59">
      <c r="A59" s="33" t="n"/>
      <c r="B59" s="33" t="n"/>
      <c r="C59" s="33" t="n"/>
      <c r="D59" s="33" t="n"/>
      <c r="E59" s="112" t="n"/>
      <c r="F59" s="112" t="n"/>
      <c r="G59" s="112" t="n"/>
      <c r="H59" s="113" t="n"/>
      <c r="I59" s="113" t="n"/>
      <c r="J59" s="33" t="n"/>
    </row>
    <row r="60">
      <c r="A60" s="32" t="n"/>
      <c r="B60" s="32" t="n"/>
      <c r="C60" s="32" t="n"/>
      <c r="D60" s="32" t="n"/>
      <c r="E60" s="110" t="n"/>
      <c r="F60" s="110" t="n"/>
      <c r="G60" s="110" t="n"/>
      <c r="H60" s="111" t="n"/>
      <c r="I60" s="111" t="n"/>
      <c r="J60" s="32" t="n"/>
    </row>
    <row r="61">
      <c r="A61" s="33" t="n"/>
      <c r="B61" s="33" t="n"/>
      <c r="C61" s="33" t="n"/>
      <c r="D61" s="33" t="n"/>
      <c r="E61" s="112" t="n"/>
      <c r="F61" s="112" t="n"/>
      <c r="G61" s="112" t="n"/>
      <c r="H61" s="113" t="n"/>
      <c r="I61" s="113" t="n"/>
      <c r="J61" s="33" t="n"/>
    </row>
    <row r="62">
      <c r="A62" s="32" t="n"/>
      <c r="B62" s="32" t="n"/>
      <c r="C62" s="32" t="n"/>
      <c r="D62" s="32" t="n"/>
      <c r="E62" s="110" t="n"/>
      <c r="F62" s="110" t="n"/>
      <c r="G62" s="110" t="n"/>
      <c r="H62" s="111" t="n"/>
      <c r="I62" s="111" t="n"/>
      <c r="J62" s="32" t="n"/>
    </row>
    <row r="63">
      <c r="A63" s="33" t="n"/>
      <c r="B63" s="33" t="n"/>
      <c r="C63" s="33" t="n"/>
      <c r="D63" s="33" t="n"/>
      <c r="E63" s="112" t="n"/>
      <c r="F63" s="112" t="n"/>
      <c r="G63" s="112" t="n"/>
      <c r="H63" s="113" t="n"/>
      <c r="I63" s="113" t="n"/>
      <c r="J63" s="33" t="n"/>
    </row>
    <row r="64">
      <c r="A64" s="32" t="n"/>
      <c r="B64" s="32" t="n"/>
      <c r="C64" s="32" t="n"/>
      <c r="D64" s="32" t="n"/>
      <c r="E64" s="110" t="n"/>
      <c r="F64" s="110" t="n"/>
      <c r="G64" s="110" t="n"/>
      <c r="H64" s="111" t="n"/>
      <c r="I64" s="111" t="n"/>
      <c r="J64" s="32" t="n"/>
    </row>
    <row r="65">
      <c r="A65" s="33" t="n"/>
      <c r="B65" s="33" t="n"/>
      <c r="C65" s="33" t="n"/>
      <c r="D65" s="33" t="n"/>
      <c r="E65" s="112" t="n"/>
      <c r="F65" s="112" t="n"/>
      <c r="G65" s="112" t="n"/>
      <c r="H65" s="113" t="n"/>
      <c r="I65" s="113" t="n"/>
      <c r="J65" s="33" t="n"/>
    </row>
    <row r="66">
      <c r="A66" s="32" t="n"/>
      <c r="B66" s="32" t="n"/>
      <c r="C66" s="32" t="n"/>
      <c r="D66" s="32" t="n"/>
      <c r="E66" s="110" t="n"/>
      <c r="F66" s="110" t="n"/>
      <c r="G66" s="110" t="n"/>
      <c r="H66" s="111" t="n"/>
      <c r="I66" s="111" t="n"/>
      <c r="J66" s="32" t="n"/>
    </row>
    <row r="67">
      <c r="A67" s="33" t="n"/>
      <c r="B67" s="33" t="n"/>
      <c r="C67" s="33" t="n"/>
      <c r="D67" s="33" t="n"/>
      <c r="E67" s="112" t="n"/>
      <c r="F67" s="112" t="n"/>
      <c r="G67" s="112" t="n"/>
      <c r="H67" s="113" t="n"/>
      <c r="I67" s="113" t="n"/>
      <c r="J67" s="33" t="n"/>
    </row>
    <row r="68">
      <c r="A68" s="32" t="n"/>
      <c r="B68" s="32" t="n"/>
      <c r="C68" s="32" t="n"/>
      <c r="D68" s="32" t="n"/>
      <c r="E68" s="110" t="n"/>
      <c r="F68" s="110" t="n"/>
      <c r="G68" s="110" t="n"/>
      <c r="H68" s="111" t="n"/>
      <c r="I68" s="111" t="n"/>
      <c r="J68" s="32" t="n"/>
    </row>
    <row r="69">
      <c r="A69" s="33" t="n"/>
      <c r="B69" s="33" t="n"/>
      <c r="C69" s="33" t="n"/>
      <c r="D69" s="33" t="n"/>
      <c r="E69" s="112" t="n"/>
      <c r="F69" s="112" t="n"/>
      <c r="G69" s="112" t="n"/>
      <c r="H69" s="113" t="n"/>
      <c r="I69" s="113" t="n"/>
      <c r="J69" s="33" t="n"/>
    </row>
    <row r="70">
      <c r="A70" s="32" t="n"/>
      <c r="B70" s="32" t="n"/>
      <c r="C70" s="32" t="n"/>
      <c r="D70" s="32" t="n"/>
      <c r="E70" s="110" t="n"/>
      <c r="F70" s="110" t="n"/>
      <c r="G70" s="110" t="n"/>
      <c r="H70" s="111" t="n"/>
      <c r="I70" s="111" t="n"/>
      <c r="J70" s="32" t="n"/>
    </row>
    <row r="71">
      <c r="A71" s="33" t="n"/>
      <c r="B71" s="33" t="n"/>
      <c r="C71" s="33" t="n"/>
      <c r="D71" s="33" t="n"/>
      <c r="E71" s="112" t="n"/>
      <c r="F71" s="112" t="n"/>
      <c r="G71" s="112" t="n"/>
      <c r="H71" s="113" t="n"/>
      <c r="I71" s="113" t="n"/>
      <c r="J71" s="33" t="n"/>
    </row>
    <row r="72">
      <c r="A72" s="32" t="n"/>
      <c r="B72" s="32" t="n"/>
      <c r="C72" s="32" t="n"/>
      <c r="D72" s="32" t="n"/>
      <c r="E72" s="110" t="n"/>
      <c r="F72" s="110" t="n"/>
      <c r="G72" s="110" t="n"/>
      <c r="H72" s="111" t="n"/>
      <c r="I72" s="111" t="n"/>
      <c r="J72" s="32" t="n"/>
    </row>
    <row r="73">
      <c r="A73" s="33" t="n"/>
      <c r="B73" s="33" t="n"/>
      <c r="C73" s="33" t="n"/>
      <c r="D73" s="33" t="n"/>
      <c r="E73" s="112" t="n"/>
      <c r="F73" s="112" t="n"/>
      <c r="G73" s="112" t="n"/>
      <c r="H73" s="113" t="n"/>
      <c r="I73" s="113" t="n"/>
      <c r="J73" s="33" t="n"/>
    </row>
    <row r="74">
      <c r="A74" s="32" t="n"/>
      <c r="B74" s="32" t="n"/>
      <c r="C74" s="32" t="n"/>
      <c r="D74" s="32" t="n"/>
      <c r="E74" s="110" t="n"/>
      <c r="F74" s="110" t="n"/>
      <c r="G74" s="110" t="n"/>
      <c r="H74" s="111" t="n"/>
      <c r="I74" s="111" t="n"/>
      <c r="J74" s="32" t="n"/>
    </row>
    <row r="75">
      <c r="A75" s="33" t="n"/>
      <c r="B75" s="33" t="n"/>
      <c r="C75" s="33" t="n"/>
      <c r="D75" s="33" t="n"/>
      <c r="E75" s="112" t="n"/>
      <c r="F75" s="112" t="n"/>
      <c r="G75" s="112" t="n"/>
      <c r="H75" s="113" t="n"/>
      <c r="I75" s="113" t="n"/>
      <c r="J75" s="33" t="n"/>
    </row>
    <row r="76">
      <c r="A76" s="32" t="n"/>
      <c r="B76" s="32" t="n"/>
      <c r="C76" s="32" t="n"/>
      <c r="D76" s="32" t="n"/>
      <c r="E76" s="110" t="n"/>
      <c r="F76" s="110" t="n"/>
      <c r="G76" s="110" t="n"/>
      <c r="H76" s="111" t="n"/>
      <c r="I76" s="111" t="n"/>
      <c r="J76" s="32" t="n"/>
    </row>
    <row r="77">
      <c r="A77" s="33" t="n"/>
      <c r="B77" s="33" t="n"/>
      <c r="C77" s="33" t="n"/>
      <c r="D77" s="33" t="n"/>
      <c r="E77" s="112" t="n"/>
      <c r="F77" s="112" t="n"/>
      <c r="G77" s="112" t="n"/>
      <c r="H77" s="113" t="n"/>
      <c r="I77" s="113" t="n"/>
      <c r="J77" s="33" t="n"/>
    </row>
    <row r="78">
      <c r="A78" s="32" t="n"/>
      <c r="B78" s="32" t="n"/>
      <c r="C78" s="32" t="n"/>
      <c r="D78" s="32" t="n"/>
      <c r="E78" s="110" t="n"/>
      <c r="F78" s="110" t="n"/>
      <c r="G78" s="110" t="n"/>
      <c r="H78" s="111" t="n"/>
      <c r="I78" s="111" t="n"/>
      <c r="J78" s="32" t="n"/>
    </row>
    <row r="79">
      <c r="A79" s="33" t="n"/>
      <c r="B79" s="33" t="n"/>
      <c r="C79" s="33" t="n"/>
      <c r="D79" s="33" t="n"/>
      <c r="E79" s="112" t="n"/>
      <c r="F79" s="112" t="n"/>
      <c r="G79" s="112" t="n"/>
      <c r="H79" s="113" t="n"/>
      <c r="I79" s="113" t="n"/>
      <c r="J79" s="33" t="n"/>
    </row>
    <row r="80">
      <c r="A80" s="32" t="n"/>
      <c r="B80" s="32" t="n"/>
      <c r="C80" s="32" t="n"/>
      <c r="D80" s="32" t="n"/>
      <c r="E80" s="110" t="n"/>
      <c r="F80" s="110" t="n"/>
      <c r="G80" s="110" t="n"/>
      <c r="H80" s="111" t="n"/>
      <c r="I80" s="111" t="n"/>
      <c r="J80" s="32" t="n"/>
    </row>
    <row r="81">
      <c r="A81" s="33" t="n"/>
      <c r="B81" s="33" t="n"/>
      <c r="C81" s="33" t="n"/>
      <c r="D81" s="33" t="n"/>
      <c r="E81" s="112" t="n"/>
      <c r="F81" s="112" t="n"/>
      <c r="G81" s="112" t="n"/>
      <c r="H81" s="113" t="n"/>
      <c r="I81" s="113" t="n"/>
      <c r="J81" s="33" t="n"/>
    </row>
    <row r="82">
      <c r="A82" s="32" t="n"/>
      <c r="B82" s="32" t="n"/>
      <c r="C82" s="32" t="n"/>
      <c r="D82" s="32" t="n"/>
      <c r="E82" s="110" t="n"/>
      <c r="F82" s="110" t="n"/>
      <c r="G82" s="110" t="n"/>
      <c r="H82" s="111" t="n"/>
      <c r="I82" s="111" t="n"/>
      <c r="J82" s="32" t="n"/>
    </row>
    <row r="83">
      <c r="A83" s="33" t="n"/>
      <c r="B83" s="33" t="n"/>
      <c r="C83" s="33" t="n"/>
      <c r="D83" s="33" t="n"/>
      <c r="E83" s="112" t="n"/>
      <c r="F83" s="112" t="n"/>
      <c r="G83" s="112" t="n"/>
      <c r="H83" s="113" t="n"/>
      <c r="I83" s="113" t="n"/>
      <c r="J83" s="33" t="n"/>
    </row>
    <row r="84">
      <c r="A84" s="32" t="n"/>
      <c r="B84" s="32" t="n"/>
      <c r="C84" s="32" t="n"/>
      <c r="D84" s="32" t="n"/>
      <c r="E84" s="110" t="n"/>
      <c r="F84" s="110" t="n"/>
      <c r="G84" s="110" t="n"/>
      <c r="H84" s="111" t="n"/>
      <c r="I84" s="111" t="n"/>
      <c r="J84" s="32" t="n"/>
    </row>
    <row r="85">
      <c r="A85" s="33" t="n"/>
      <c r="B85" s="33" t="n"/>
      <c r="C85" s="33" t="n"/>
      <c r="D85" s="33" t="n"/>
      <c r="E85" s="112" t="n"/>
      <c r="F85" s="112" t="n"/>
      <c r="G85" s="112" t="n"/>
      <c r="H85" s="113" t="n"/>
      <c r="I85" s="113" t="n"/>
      <c r="J85" s="33" t="n"/>
    </row>
    <row r="86">
      <c r="A86" s="32" t="n"/>
      <c r="B86" s="32" t="n"/>
      <c r="C86" s="32" t="n"/>
      <c r="D86" s="32" t="n"/>
      <c r="E86" s="110" t="n"/>
      <c r="F86" s="110" t="n"/>
      <c r="G86" s="110" t="n"/>
      <c r="H86" s="111" t="n"/>
      <c r="I86" s="111" t="n"/>
      <c r="J86" s="32" t="n"/>
    </row>
    <row r="87">
      <c r="A87" s="33" t="n"/>
      <c r="B87" s="33" t="n"/>
      <c r="C87" s="33" t="n"/>
      <c r="D87" s="33" t="n"/>
      <c r="E87" s="112" t="n"/>
      <c r="F87" s="112" t="n"/>
      <c r="G87" s="112" t="n"/>
      <c r="H87" s="113" t="n"/>
      <c r="I87" s="113" t="n"/>
      <c r="J87" s="33" t="n"/>
    </row>
    <row r="88">
      <c r="A88" s="32" t="n"/>
      <c r="B88" s="32" t="n"/>
      <c r="C88" s="32" t="n"/>
      <c r="D88" s="32" t="n"/>
      <c r="E88" s="110" t="n"/>
      <c r="F88" s="110" t="n"/>
      <c r="G88" s="110" t="n"/>
      <c r="H88" s="111" t="n"/>
      <c r="I88" s="111" t="n"/>
      <c r="J88" s="32" t="n"/>
    </row>
    <row r="89">
      <c r="A89" s="33" t="n"/>
      <c r="B89" s="33" t="n"/>
      <c r="C89" s="33" t="n"/>
      <c r="D89" s="33" t="n"/>
      <c r="E89" s="112" t="n"/>
      <c r="F89" s="112" t="n"/>
      <c r="G89" s="112" t="n"/>
      <c r="H89" s="113" t="n"/>
      <c r="I89" s="113" t="n"/>
      <c r="J89" s="33" t="n"/>
    </row>
    <row r="90">
      <c r="A90" s="32" t="n"/>
      <c r="B90" s="32" t="n"/>
      <c r="C90" s="32" t="n"/>
      <c r="D90" s="32" t="n"/>
      <c r="E90" s="110" t="n"/>
      <c r="F90" s="110" t="n"/>
      <c r="G90" s="110" t="n"/>
      <c r="H90" s="111" t="n"/>
      <c r="I90" s="111" t="n"/>
      <c r="J90" s="32" t="n"/>
    </row>
    <row r="91">
      <c r="A91" s="33" t="n"/>
      <c r="B91" s="33" t="n"/>
      <c r="C91" s="33" t="n"/>
      <c r="D91" s="33" t="n"/>
      <c r="E91" s="112" t="n"/>
      <c r="F91" s="112" t="n"/>
      <c r="G91" s="112" t="n"/>
      <c r="H91" s="113" t="n"/>
      <c r="I91" s="113" t="n"/>
      <c r="J91" s="33" t="n"/>
    </row>
    <row r="92">
      <c r="A92" s="32" t="n"/>
      <c r="B92" s="32" t="n"/>
      <c r="C92" s="32" t="n"/>
      <c r="D92" s="32" t="n"/>
      <c r="E92" s="110" t="n"/>
      <c r="F92" s="110" t="n"/>
      <c r="G92" s="110" t="n"/>
      <c r="H92" s="111" t="n"/>
      <c r="I92" s="111" t="n"/>
      <c r="J92" s="32" t="n"/>
    </row>
    <row r="93">
      <c r="A93" s="33" t="n"/>
      <c r="B93" s="33" t="n"/>
      <c r="C93" s="33" t="n"/>
      <c r="D93" s="33" t="n"/>
      <c r="E93" s="112" t="n"/>
      <c r="F93" s="112" t="n"/>
      <c r="G93" s="112" t="n"/>
      <c r="H93" s="113" t="n"/>
      <c r="I93" s="113" t="n"/>
      <c r="J93" s="33" t="n"/>
    </row>
    <row r="94">
      <c r="A94" s="32" t="n"/>
      <c r="B94" s="32" t="n"/>
      <c r="C94" s="32" t="n"/>
      <c r="D94" s="32" t="n"/>
      <c r="E94" s="110" t="n"/>
      <c r="F94" s="110" t="n"/>
      <c r="G94" s="110" t="n"/>
      <c r="H94" s="111" t="n"/>
      <c r="I94" s="111" t="n"/>
      <c r="J94" s="32" t="n"/>
    </row>
    <row r="95">
      <c r="A95" s="33" t="n"/>
      <c r="B95" s="33" t="n"/>
      <c r="C95" s="33" t="n"/>
      <c r="D95" s="33" t="n"/>
      <c r="E95" s="112" t="n"/>
      <c r="F95" s="112" t="n"/>
      <c r="G95" s="112" t="n"/>
      <c r="H95" s="113" t="n"/>
      <c r="I95" s="113" t="n"/>
      <c r="J95" s="33" t="n"/>
    </row>
    <row r="96">
      <c r="A96" s="32" t="n"/>
      <c r="B96" s="32" t="n"/>
      <c r="C96" s="32" t="n"/>
      <c r="D96" s="32" t="n"/>
      <c r="E96" s="110" t="n"/>
      <c r="F96" s="110" t="n"/>
      <c r="G96" s="110" t="n"/>
      <c r="H96" s="111" t="n"/>
      <c r="I96" s="111" t="n"/>
      <c r="J96" s="32" t="n"/>
    </row>
    <row r="97">
      <c r="A97" s="33" t="n"/>
      <c r="B97" s="33" t="n"/>
      <c r="C97" s="33" t="n"/>
      <c r="D97" s="33" t="n"/>
      <c r="E97" s="112" t="n"/>
      <c r="F97" s="112" t="n"/>
      <c r="G97" s="112" t="n"/>
      <c r="H97" s="113" t="n"/>
      <c r="I97" s="113" t="n"/>
      <c r="J97" s="33" t="n"/>
    </row>
    <row r="98">
      <c r="A98" s="32" t="n"/>
      <c r="B98" s="32" t="n"/>
      <c r="C98" s="32" t="n"/>
      <c r="D98" s="32" t="n"/>
      <c r="E98" s="110" t="n"/>
      <c r="F98" s="110" t="n"/>
      <c r="G98" s="110" t="n"/>
      <c r="H98" s="111" t="n"/>
      <c r="I98" s="111" t="n"/>
      <c r="J98" s="32" t="n"/>
    </row>
    <row r="99">
      <c r="A99" s="33" t="n"/>
      <c r="B99" s="33" t="n"/>
      <c r="C99" s="33" t="n"/>
      <c r="D99" s="33" t="n"/>
      <c r="E99" s="112" t="n"/>
      <c r="F99" s="112" t="n"/>
      <c r="G99" s="112" t="n"/>
      <c r="H99" s="113" t="n"/>
      <c r="I99" s="113" t="n"/>
      <c r="J99" s="33" t="n"/>
    </row>
    <row r="100">
      <c r="A100" s="32" t="n"/>
      <c r="B100" s="32" t="n"/>
      <c r="C100" s="32" t="n"/>
      <c r="D100" s="32" t="n"/>
      <c r="E100" s="110" t="n"/>
      <c r="F100" s="110" t="n"/>
      <c r="G100" s="110" t="n"/>
      <c r="H100" s="111" t="n"/>
      <c r="I100" s="111" t="n"/>
      <c r="J100" s="32" t="n"/>
    </row>
    <row r="101">
      <c r="A101" s="33" t="n"/>
      <c r="B101" s="33" t="n"/>
      <c r="C101" s="33" t="n"/>
      <c r="D101" s="33" t="n"/>
      <c r="E101" s="112" t="n"/>
      <c r="F101" s="112" t="n"/>
      <c r="G101" s="112" t="n"/>
      <c r="H101" s="113" t="n"/>
      <c r="I101" s="113" t="n"/>
      <c r="J101" s="33" t="n"/>
    </row>
    <row r="102">
      <c r="A102" s="32" t="n"/>
      <c r="B102" s="32" t="n"/>
      <c r="C102" s="32" t="n"/>
      <c r="D102" s="32" t="n"/>
      <c r="E102" s="110" t="n"/>
      <c r="F102" s="110" t="n"/>
      <c r="G102" s="110" t="n"/>
      <c r="H102" s="111" t="n"/>
      <c r="I102" s="111" t="n"/>
      <c r="J102" s="32" t="n"/>
    </row>
    <row r="103">
      <c r="A103" s="34" t="n"/>
      <c r="B103" s="34" t="n"/>
      <c r="C103" s="34" t="n"/>
      <c r="D103" s="34" t="n"/>
      <c r="E103" s="114" t="n"/>
      <c r="F103" s="114" t="n"/>
      <c r="G103" s="114" t="n"/>
      <c r="H103" s="115" t="n"/>
      <c r="I103" s="115" t="n"/>
      <c r="J103" s="34" t="n"/>
    </row>
  </sheetData>
  <autoFilter ref="A3:J8"/>
  <mergeCells count="1">
    <mergeCell ref="A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min="1" max="1" customWidth="true" width="24.0"/>
    <col min="2" max="2" customWidth="true" width="95.0"/>
  </cols>
  <sheetData>
    <row r="1">
      <c r="A1" s="85" t="inlineStr">
        <is>
          <t>MODE D’EMPLOI — ÉTAT DES CONGÉS PAR PERSONNE</t>
        </is>
      </c>
      <c r="B1" s="1" t="n"/>
      <c r="C1" s="1" t="n"/>
      <c r="D1" s="1" t="n"/>
      <c r="E1" s="1" t="n"/>
      <c r="F1" s="1" t="n"/>
    </row>
    <row r="3" ht="34" customHeight="1">
      <c r="A3" s="88" t="inlineStr">
        <is>
          <t>Objectif</t>
        </is>
      </c>
      <c r="B3" s="89" t="inlineStr">
        <is>
          <t>Présenter pour un salarié ses droits à congé en jours et en valeur, avec traçabilité de la période de référence.</t>
        </is>
      </c>
    </row>
    <row r="4" ht="34" customHeight="1">
      <c r="A4" s="88" t="inlineStr">
        <is>
          <t>Canevas</t>
        </is>
      </c>
      <c r="B4" s="89" t="inlineStr">
        <is>
          <t>Inspiré des fichiers historiques KAJY DROITS CONGES, mais restructuré pour le SIRH.</t>
        </is>
      </c>
    </row>
    <row r="5" ht="34" customHeight="1">
      <c r="A5" s="88" t="inlineStr">
        <is>
          <t>Source</t>
        </is>
      </c>
      <c r="B5" s="89" t="inlineStr">
        <is>
          <t>Données du ledger de congés, périodes de référence, TCONGE historisé et résultats de paie/pointage pertinents.</t>
        </is>
      </c>
    </row>
    <row r="6" ht="34" customHeight="1">
      <c r="A6" s="88" t="inlineStr">
        <is>
          <t>Calcul métier</t>
        </is>
      </c>
      <c r="B6" s="89" t="inlineStr">
        <is>
          <t>Aucun recalcul métier dans l’Excel : acquisition, valorisation, TCONGE et solde sont fournis par le backend.</t>
        </is>
      </c>
    </row>
    <row r="7" ht="34" customHeight="1">
      <c r="A7" s="88" t="inlineStr">
        <is>
          <t>Totaux Excel</t>
        </is>
      </c>
      <c r="B7" s="89" t="inlineStr">
        <is>
          <t>Les SUM servent uniquement à la présentation/au contrôle du document.</t>
        </is>
      </c>
    </row>
    <row r="8" ht="34" customHeight="1">
      <c r="A8" s="88" t="inlineStr">
        <is>
          <t>Période</t>
        </is>
      </c>
      <c r="B8" s="89" t="s">
        <v>62</v>
      </c>
    </row>
    <row r="9" ht="34" customHeight="1">
      <c r="A9" s="88" t="inlineStr">
        <is>
          <t>Valeur</t>
        </is>
      </c>
      <c r="B9" s="89" t="s">
        <v>63</v>
      </c>
    </row>
    <row r="10" ht="34" customHeight="1">
      <c r="A10" s="88" t="inlineStr">
        <is>
          <t>Audit</t>
        </is>
      </c>
      <c r="B10" s="89" t="s">
        <v>64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dimension ref="A1:I6"/>
  <sheetViews>
    <sheetView workbookViewId="0"/>
  </sheetViews>
  <sheetFormatPr defaultRowHeight="15.0"/>
  <sheetData>
    <row r="1">
      <c r="A1" t="s" s="0">
        <v>45</v>
      </c>
      <c r="B1" t="s" s="0">
        <v>46</v>
      </c>
      <c r="C1" t="s" s="0">
        <v>47</v>
      </c>
      <c r="D1" t="s" s="0">
        <v>48</v>
      </c>
      <c r="E1" t="s" s="0">
        <v>49</v>
      </c>
      <c r="F1" t="s" s="0">
        <v>50</v>
      </c>
      <c r="G1" t="s" s="0">
        <v>51</v>
      </c>
      <c r="H1" t="s" s="0">
        <v>52</v>
      </c>
      <c r="I1" t="s" s="0">
        <v>53</v>
      </c>
    </row>
    <row r="2">
      <c r="A2" t="s" s="0">
        <v>54</v>
      </c>
      <c r="B2" t="n" s="0">
        <v>2.0</v>
      </c>
      <c r="C2" t="s" s="0">
        <v>55</v>
      </c>
      <c r="D2" t="n" s="0">
        <v>12.5</v>
      </c>
      <c r="E2" t="n" s="0">
        <v>1458333.38</v>
      </c>
    </row>
    <row r="3">
      <c r="A3" t="s" s="0">
        <v>56</v>
      </c>
      <c r="B3" t="n" s="0">
        <v>6.0</v>
      </c>
      <c r="C3" t="s" s="0">
        <v>57</v>
      </c>
      <c r="D3" t="n" s="0">
        <v>2.5</v>
      </c>
      <c r="E3" t="n" s="0">
        <v>291666.67</v>
      </c>
    </row>
    <row r="4">
      <c r="A4" t="s" s="0">
        <v>56</v>
      </c>
      <c r="B4" t="n" s="0">
        <v>8.0</v>
      </c>
      <c r="C4" t="s" s="0">
        <v>58</v>
      </c>
      <c r="D4" t="n" s="0">
        <v>2.5</v>
      </c>
      <c r="E4" t="n" s="0">
        <v>297051.39</v>
      </c>
    </row>
    <row r="5">
      <c r="A5" t="s" s="0">
        <v>56</v>
      </c>
      <c r="B5" t="n" s="0">
        <v>10.0</v>
      </c>
      <c r="C5" t="s" s="0">
        <v>59</v>
      </c>
      <c r="D5" t="n" s="0">
        <v>2.5</v>
      </c>
      <c r="E5" t="n" s="0">
        <v>291666.67</v>
      </c>
    </row>
    <row r="6">
      <c r="A6" t="s" s="0">
        <v>60</v>
      </c>
      <c r="B6" t="n" s="0">
        <v>4.0</v>
      </c>
      <c r="C6" t="s" s="0">
        <v>61</v>
      </c>
      <c r="D6" t="n" s="0">
        <v>4.0</v>
      </c>
      <c r="E6" t="n" s="0">
        <v>466666.68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2026-10-04T21:28:57Z</dcterms:created>
  <dc:creator>openpyxl</dc:creator>
  <dcterms:modified xsi:type="dcterms:W3CDTF">2026-10-04T21:28:57Z</dcterms:modified>
</cp:coreProperties>
</file>