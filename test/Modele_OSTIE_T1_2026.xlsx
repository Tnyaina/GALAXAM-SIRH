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DNS" sheetId="1" r:id="rId1"/>
    <sheet name="RECAP COTISATION" sheetId="4" r:id="rId2"/>
  </sheets>
  <definedNames>
    <definedName name="AA">#N/A</definedName>
    <definedName name="fériés">#REF!</definedName>
    <definedName name="IND">#N/A</definedName>
  </definedNames>
  <calcPr calcId="162913" fullCalcOnLoad="true"/>
</workbook>
</file>

<file path=xl/calcChain.xml><?xml version="1.0" encoding="utf-8"?>
<calcChain xmlns="http://schemas.openxmlformats.org/spreadsheetml/2006/main">
  <c r="F25" i="4" l="1"/>
  <c r="F27" i="4"/>
  <c r="F26" i="4"/>
  <c r="F24" i="4"/>
  <c r="Q3" i="1"/>
  <c r="F28" i="4" l="1"/>
  <c r="F31" i="4" s="1"/>
</calcChain>
</file>

<file path=xl/sharedStrings.xml><?xml version="1.0" encoding="utf-8"?>
<sst xmlns="http://schemas.openxmlformats.org/spreadsheetml/2006/main" count="174" uniqueCount="161">
  <si>
    <t>TOTAUX SALAIRES PLAFONNES</t>
  </si>
  <si>
    <t>FONCTION</t>
  </si>
  <si>
    <t>DATE DE DEBAUCHE</t>
  </si>
  <si>
    <t>DATE DE NAISSANCE</t>
  </si>
  <si>
    <t>SEXE</t>
  </si>
  <si>
    <t>MATRICULE</t>
  </si>
  <si>
    <t>N°</t>
  </si>
  <si>
    <t xml:space="preserve">BP : 165 Antananarivo </t>
  </si>
  <si>
    <t>Tél.: 22 265 78 / 22 274 76 / 22 251 42  FAX : 22 265 66</t>
  </si>
  <si>
    <t>Rue Dr Zamenhof Behoririka 101 ANTANANARIVO</t>
  </si>
  <si>
    <t>O.S.T.I.E.</t>
  </si>
  <si>
    <t>ORGANISATION SANITAIRE TANANARIVIENNE INTER-ENTREPRISES</t>
  </si>
  <si>
    <t>PART EMPLOYEUR 5%</t>
  </si>
  <si>
    <t>TOTAUX SALAIRES NON PLAFONNES</t>
  </si>
  <si>
    <t>DATE D'EMBAUCHE</t>
  </si>
  <si>
    <t>N°CNAPS</t>
  </si>
  <si>
    <t>BOA Andravoahangy   00009 05600 10762050010 23</t>
  </si>
  <si>
    <t>BNI-CL Analakely  00005 00001 01232020200 71</t>
  </si>
  <si>
    <t>BFV-SG  Antaninarenina  00008 00005 21000155438 43</t>
  </si>
  <si>
    <t>BMOI Analamahitsy 00004 00003 01500800184 32</t>
  </si>
  <si>
    <t xml:space="preserve">DECLARATION NOMINATIVE DES SALAIRES VERSES AU TITRE DU </t>
  </si>
  <si>
    <t>TRIMESTRE</t>
  </si>
  <si>
    <t>FOLIO :</t>
  </si>
  <si>
    <t>Travailleur :</t>
  </si>
  <si>
    <t>Plafond par travailleur et par mois :</t>
  </si>
  <si>
    <t>Raison Sociale        :</t>
  </si>
  <si>
    <t>Adresse       :</t>
  </si>
  <si>
    <t>STAT :</t>
  </si>
  <si>
    <t>NIF :</t>
  </si>
  <si>
    <t>CODE ADHERENT :</t>
  </si>
  <si>
    <t>ACTIVITE :</t>
  </si>
  <si>
    <t>REGIME :</t>
  </si>
  <si>
    <t>GENERAL</t>
  </si>
  <si>
    <t>Salaire Minimum d'Embauche :</t>
  </si>
  <si>
    <t>Tél :</t>
  </si>
  <si>
    <t>eMail :</t>
  </si>
  <si>
    <t>N° Cnaps Employeur :</t>
  </si>
  <si>
    <t>PART TRAVAILLEUR 1%</t>
  </si>
  <si>
    <t xml:space="preserve">Taux Employeur : </t>
  </si>
  <si>
    <r>
      <t>SALAIRE 1</t>
    </r>
    <r>
      <rPr>
        <vertAlign val="superscript"/>
        <sz val="8"/>
        <rFont val="Arial"/>
        <family val="2"/>
      </rPr>
      <t>er</t>
    </r>
    <r>
      <rPr>
        <sz val="8"/>
        <rFont val="Arial"/>
        <family val="2"/>
      </rPr>
      <t xml:space="preserve"> MOIS</t>
    </r>
  </si>
  <si>
    <r>
      <t>SALAIRE 2</t>
    </r>
    <r>
      <rPr>
        <vertAlign val="superscript"/>
        <sz val="8"/>
        <rFont val="Arial"/>
        <family val="2"/>
      </rPr>
      <t>ème</t>
    </r>
    <r>
      <rPr>
        <sz val="8"/>
        <rFont val="Arial"/>
        <family val="2"/>
      </rPr>
      <t xml:space="preserve"> MOIS</t>
    </r>
  </si>
  <si>
    <r>
      <t>SALAIRE 3</t>
    </r>
    <r>
      <rPr>
        <vertAlign val="superscript"/>
        <sz val="8"/>
        <rFont val="Arial"/>
        <family val="2"/>
      </rPr>
      <t>ème</t>
    </r>
    <r>
      <rPr>
        <sz val="8"/>
        <rFont val="Arial"/>
        <family val="2"/>
      </rPr>
      <t xml:space="preserve"> MOIS</t>
    </r>
  </si>
  <si>
    <t>N°CIN</t>
  </si>
  <si>
    <t>e-mail : sadhostie@moov.mg         site web : www.ostie.mg</t>
  </si>
  <si>
    <t>NOM DU TRAVAILLEUR</t>
  </si>
  <si>
    <t>PRENOMS DU TRAVAILLEUR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</si>
  <si>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</si>
  <si>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</si>
  <si>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</si>
  <si>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</si>
  <si>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</si>
  <si>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</si>
  <si>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</si>
  <si>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</si>
  <si>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</si>
  <si>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</si>
  <si>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</si>
  <si>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O</t>
  </si>
  <si>
    <t>P</t>
  </si>
  <si>
    <t>Q</t>
  </si>
  <si>
    <t>R</t>
  </si>
  <si>
    <t>RAISON SOCIALE</t>
  </si>
  <si>
    <t>N° Téléphone</t>
  </si>
  <si>
    <t>ADRESSE</t>
  </si>
  <si>
    <t>Adresse mail</t>
  </si>
  <si>
    <t>COTISATIONS :</t>
  </si>
  <si>
    <t>Taux Employeur</t>
  </si>
  <si>
    <t>Taux Travailleur</t>
  </si>
  <si>
    <t>MOIS CONCERNES :</t>
  </si>
  <si>
    <t>RECAPITULATION :</t>
  </si>
  <si>
    <t>Mois 1</t>
  </si>
  <si>
    <t>Mois 2</t>
  </si>
  <si>
    <t>Mois 3</t>
  </si>
  <si>
    <r>
      <t>Effectif mensuel (</t>
    </r>
    <r>
      <rPr>
        <b/>
        <sz val="10"/>
        <rFont val="Arial"/>
        <family val="2"/>
      </rPr>
      <t>OBLIGATOIRE</t>
    </r>
    <r>
      <rPr>
        <sz val="10"/>
        <rFont val="Arial"/>
        <family val="2"/>
      </rPr>
      <t>)</t>
    </r>
  </si>
  <si>
    <t>TOTAUX</t>
  </si>
  <si>
    <t>Totaux Salaires non plafonnés</t>
  </si>
  <si>
    <t>ETAT RECAPITULATIF DES DECLARATIONS NOMINATIVES DE SALAIRES</t>
  </si>
  <si>
    <t>CODE ADHERENT</t>
  </si>
  <si>
    <t>ANNEE</t>
  </si>
  <si>
    <t>MODE DE PAIEMENT</t>
  </si>
  <si>
    <t>REFERENCE</t>
  </si>
  <si>
    <t>Totaux Salaires plafonnés</t>
  </si>
  <si>
    <t>Cotisations Employeur (A)</t>
  </si>
  <si>
    <t>Cotisations travailleurs (B)</t>
  </si>
  <si>
    <t>Total cotisations A+B</t>
  </si>
  <si>
    <t>Majoration de retard 10%</t>
  </si>
  <si>
    <t>Trop perçu antérieur à déduire</t>
  </si>
  <si>
    <t>COTISATIONS NET A PAYER</t>
  </si>
  <si>
    <t>Montant Plafonnement</t>
  </si>
  <si>
    <t>Montant SME</t>
  </si>
  <si>
    <t>RECOMMANDATIONS :</t>
  </si>
  <si>
    <t>COLONNE</t>
  </si>
  <si>
    <t>DESCRIPTION</t>
  </si>
  <si>
    <t>EXEMPLE</t>
  </si>
  <si>
    <t xml:space="preserve"> -</t>
  </si>
  <si>
    <t>Dans le cas contraire, le fichier sera retourné à l'employeur.</t>
  </si>
  <si>
    <t>Nom du travailleur : Toujours à renseigner, ne pas intervertir avec les prénoms</t>
  </si>
  <si>
    <t>Prénoms du travailleur : A renseigner si existant, ne pas intervertir avec le nom</t>
  </si>
  <si>
    <t>-</t>
  </si>
  <si>
    <t>Un travailleur ne doit occuper qu'une seule ligne</t>
  </si>
  <si>
    <t>N° CNaPS : N° d'affiliation du travailleur. Si le numéro comporte des zéros devant,</t>
  </si>
  <si>
    <t>033546</t>
  </si>
  <si>
    <t>tapez ces zéros. Ce numéro doit être renseigné sauf si le travailleur a été embauché au</t>
  </si>
  <si>
    <t>12345678901K</t>
  </si>
  <si>
    <t>Ne jamais insérer d'autres colonnes</t>
  </si>
  <si>
    <t xml:space="preserve">cours du trimestre, auquel cas, la date d'entrée et le n° CIN doivent être renseignés  </t>
  </si>
  <si>
    <t>564234</t>
  </si>
  <si>
    <t>Ne pas intervertir les colonnes</t>
  </si>
  <si>
    <t>Date de départ : A renseigner uniquement si le travailleur a été débauché au cours de ce</t>
  </si>
  <si>
    <t xml:space="preserve">Salaire du mois : Montant du salaire du mois, non plafonné, en format nombre sans </t>
  </si>
  <si>
    <t>séparation de milliers, donc cadré à droite</t>
  </si>
  <si>
    <t xml:space="preserve">EXPLICATION DES CONTENUS DES COLONNES </t>
  </si>
  <si>
    <t>L,M,N</t>
  </si>
  <si>
    <t>Numéro chronologique</t>
  </si>
  <si>
    <t>N° matricule du travailleur chez l'employeur</t>
  </si>
  <si>
    <t>Sexe : Masculin ou Féminin</t>
  </si>
  <si>
    <t>M ou F</t>
  </si>
  <si>
    <t>trimestre. Mettre au format date JJ/MM/AAAA</t>
  </si>
  <si>
    <t>Total non plafonné : Somme des colonnes L, M et N (format nombre)</t>
  </si>
  <si>
    <t xml:space="preserve">Cotisation part employeur : Valeur de P à multiplier par le taux employeur en vigueur </t>
  </si>
  <si>
    <t xml:space="preserve">Cotisation part travailleur : Valeur de P à multiplier par le taux travailleur en vigueur </t>
  </si>
  <si>
    <t xml:space="preserve">faire la somme avec le plafond règlementaire, sinon mettre O (format nombre) </t>
  </si>
  <si>
    <t xml:space="preserve">Total plafonné : Si la valeur de L ou M ou N est supérieur au plafond règlementaire,  </t>
  </si>
  <si>
    <t>Date de naissance obligatoire. Mettre au format date JJ/MM/AAAA</t>
  </si>
  <si>
    <t>Insérer des lignes selon nombre d'effectif.</t>
  </si>
  <si>
    <t>Toutes les colonnes doivent être remplies</t>
  </si>
  <si>
    <t>ainsi que les fonctions</t>
  </si>
  <si>
    <t>Mettre au majuscule les noms et prénoms</t>
  </si>
  <si>
    <t>Faire apparaitre dans l'objet du mail ainsi que dans le nom de fichier</t>
  </si>
  <si>
    <t>le code Adhérent et le trimestre concerné</t>
  </si>
  <si>
    <t>Ne pas oublier d'établir l'état récapitulatif (onglet RECAP COTISATION)</t>
  </si>
  <si>
    <t>Fonction</t>
  </si>
  <si>
    <t>Date d'embauche : mettre au format date JJ/MM/AAAA</t>
  </si>
  <si>
    <t>CIN : N° CIN du travailleur - N° passeport pour les expatriés</t>
  </si>
  <si>
    <t>Ne jamais insérer ni supprimer d'autres lignes à l'en-tête (ligne 1 à 14)</t>
  </si>
  <si>
    <t>Renommer le fichier : Code Adhérent + Sigle Société + trimestre (ex : 012345 SOCIETE 1T2017)</t>
  </si>
  <si>
    <t>MVOLA 034 31 564 90</t>
  </si>
  <si>
    <t>ACCES BANQUE Ivandry  00011 00028 24100009613 51</t>
  </si>
  <si>
    <t>T1 2026</t>
  </si>
  <si>
    <t>Galaxam Logistics</t>
  </si>
  <si>
    <t>3e étage, Tour Forello, Tanjombato</t>
  </si>
  <si>
    <t>+261 32 12 131 01</t>
  </si>
  <si>
    <t>daf@galaxam.com</t>
  </si>
  <si>
    <t>52 296 11 2001 0 00056</t>
  </si>
  <si>
    <t>3 000 019 43 4</t>
  </si>
  <si>
    <t>1</t>
  </si>
  <si>
    <t>RANDRASANA</t>
  </si>
  <si>
    <t>Eric Jean-Joel</t>
  </si>
  <si>
    <t>M</t>
  </si>
  <si>
    <t>DG</t>
  </si>
  <si>
    <t>780531</t>
  </si>
  <si>
    <t>101211101179</t>
  </si>
  <si>
    <t>35</t>
  </si>
  <si>
    <t>RALAMBOMANANA</t>
  </si>
  <si>
    <t>Tatamo Michele</t>
  </si>
  <si>
    <t>DAF</t>
  </si>
  <si>
    <t>819288</t>
  </si>
  <si>
    <t>117392000208</t>
  </si>
  <si>
    <t>janvier</t>
  </si>
  <si>
    <t>février</t>
  </si>
  <si>
    <t>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</si>
</sst>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2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6"/>
      <name val="Arial"/>
      <family val="2"/>
    </font>
    <font>
      <u/>
      <sz val="4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color rgb="FF000000"/>
      <name val="Calibri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color rgb="FF000000"/>
      <name val="Arial"/>
      <family val="2"/>
    </font>
    <font>
      <sz val="7"/>
      <name val="Arial"/>
      <family val="2"/>
    </font>
    <font>
      <u/>
      <sz val="10"/>
      <color theme="10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u/>
      <sz val="11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Arial Narrow"/>
      <family val="2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horizontal="left"/>
    </xf>
    <xf numFmtId="0" fontId="10" fillId="0" borderId="0" xfId="0" applyFont="1"/>
    <xf numFmtId="0" fontId="12" fillId="0" borderId="11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4" xfId="0" applyFont="1" applyBorder="1"/>
    <xf numFmtId="4" fontId="2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0" fillId="0" borderId="4" xfId="0" applyBorder="1"/>
    <xf numFmtId="0" fontId="0" fillId="0" borderId="12" xfId="0" applyBorder="1"/>
    <xf numFmtId="0" fontId="2" fillId="0" borderId="1" xfId="0" applyFont="1" applyBorder="1" applyAlignment="1">
      <alignment horizontal="center"/>
    </xf>
    <xf numFmtId="0" fontId="11" fillId="0" borderId="0" xfId="0" applyFont="1"/>
    <xf numFmtId="0" fontId="11" fillId="0" borderId="4" xfId="0" applyFont="1" applyBorder="1"/>
    <xf numFmtId="0" fontId="0" fillId="0" borderId="9" xfId="0" applyBorder="1"/>
    <xf numFmtId="43" fontId="14" fillId="0" borderId="12" xfId="1" applyFont="1" applyBorder="1"/>
    <xf numFmtId="0" fontId="13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0" fillId="2" borderId="2" xfId="0" applyFont="1" applyFill="1" applyBorder="1" applyAlignment="1">
      <alignment horizontal="right"/>
    </xf>
    <xf numFmtId="0" fontId="5" fillId="2" borderId="8" xfId="0" applyFont="1" applyFill="1" applyBorder="1" applyAlignment="1">
      <alignment horizontal="center"/>
    </xf>
    <xf numFmtId="0" fontId="5" fillId="2" borderId="8" xfId="0" applyFont="1" applyFill="1" applyBorder="1"/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18" fillId="0" borderId="0" xfId="0" applyFont="1"/>
    <xf numFmtId="0" fontId="10" fillId="0" borderId="1" xfId="0" applyFont="1" applyBorder="1" applyAlignment="1">
      <alignment horizontal="center"/>
    </xf>
    <xf numFmtId="0" fontId="17" fillId="0" borderId="1" xfId="0" applyFont="1" applyBorder="1"/>
    <xf numFmtId="9" fontId="0" fillId="0" borderId="1" xfId="0" applyNumberFormat="1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right"/>
    </xf>
    <xf numFmtId="0" fontId="22" fillId="0" borderId="0" xfId="0" quotePrefix="1" applyFont="1" applyAlignment="1">
      <alignment horizontal="righ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0" borderId="7" xfId="0" applyFont="1" applyBorder="1" applyAlignment="1">
      <alignment horizontal="center"/>
    </xf>
    <xf numFmtId="49" fontId="23" fillId="0" borderId="3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/>
    </xf>
    <xf numFmtId="49" fontId="23" fillId="0" borderId="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4" fontId="23" fillId="0" borderId="4" xfId="0" applyNumberFormat="1" applyFont="1" applyBorder="1" applyAlignment="1">
      <alignment horizontal="center" vertical="center"/>
    </xf>
    <xf numFmtId="49" fontId="23" fillId="0" borderId="4" xfId="0" quotePrefix="1" applyNumberFormat="1" applyFont="1" applyBorder="1" applyAlignment="1">
      <alignment horizontal="center" vertical="center"/>
    </xf>
    <xf numFmtId="2" fontId="23" fillId="0" borderId="4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center"/>
    </xf>
    <xf numFmtId="2" fontId="23" fillId="0" borderId="10" xfId="0" applyNumberFormat="1" applyFont="1" applyBorder="1" applyAlignment="1">
      <alignment horizontal="center" vertical="center"/>
    </xf>
    <xf numFmtId="49" fontId="24" fillId="0" borderId="4" xfId="0" quotePrefix="1" applyNumberFormat="1" applyFont="1" applyBorder="1" applyAlignment="1">
      <alignment horizontal="center" vertical="center"/>
    </xf>
    <xf numFmtId="0" fontId="23" fillId="0" borderId="0" xfId="0" applyFont="1"/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horizontal="left"/>
    </xf>
    <xf numFmtId="0" fontId="21" fillId="2" borderId="1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6" xfId="0" applyFont="1" applyFill="1" applyBorder="1"/>
    <xf numFmtId="0" fontId="4" fillId="3" borderId="0" xfId="0" applyFont="1" applyFill="1" applyAlignment="1">
      <alignment vertical="center" wrapText="1"/>
    </xf>
    <xf numFmtId="0" fontId="2" fillId="3" borderId="0" xfId="0" applyFont="1" applyFill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2" fillId="3" borderId="16" xfId="0" applyFont="1" applyFill="1" applyBorder="1"/>
    <xf numFmtId="0" fontId="2" fillId="3" borderId="14" xfId="0" applyFont="1" applyFill="1" applyBorder="1"/>
    <xf numFmtId="0" fontId="23" fillId="0" borderId="8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4" xfId="0" applyFont="1" applyBorder="1" applyAlignment="1">
      <alignment vertical="center"/>
    </xf>
    <xf numFmtId="0" fontId="27" fillId="0" borderId="0" xfId="0" applyFont="1"/>
    <xf numFmtId="0" fontId="28" fillId="0" borderId="0" xfId="0" applyFont="1" applyAlignment="1">
      <alignment horizontal="left"/>
    </xf>
    <xf numFmtId="0" fontId="23" fillId="0" borderId="9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4" xfId="0" applyFont="1" applyBorder="1" applyAlignment="1">
      <alignment vertical="center"/>
    </xf>
    <xf numFmtId="0" fontId="26" fillId="0" borderId="0" xfId="0" applyFont="1" applyAlignment="1">
      <alignment horizontal="left"/>
    </xf>
    <xf numFmtId="0" fontId="21" fillId="2" borderId="6" xfId="0" applyFont="1" applyFill="1" applyBorder="1" applyAlignment="1">
      <alignment horizontal="center"/>
    </xf>
    <xf numFmtId="0" fontId="23" fillId="0" borderId="7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0" xfId="0" applyFont="1" applyFill="1"/>
    <xf numFmtId="0" fontId="8" fillId="0" borderId="0" xfId="0" applyFont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5" fillId="0" borderId="0" xfId="2" applyBorder="1" applyAlignment="1" applyProtection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9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9" fillId="0" borderId="1" xfId="0" applyFont="1" applyBorder="1" applyAlignment="1">
      <alignment horizontal="center"/>
    </xf>
  </cellXfs>
  <cellStyles count="3">
    <cellStyle name="Lien hypertexte" xfId="2" builtinId="8"/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T53"/>
  <sheetViews>
    <sheetView tabSelected="1" topLeftCell="E1" workbookViewId="0">
      <selection activeCell="S10" sqref="S10"/>
    </sheetView>
  </sheetViews>
  <sheetFormatPr baseColWidth="10" defaultRowHeight="13.2" x14ac:dyDescent="0.25"/>
  <cols>
    <col min="1" max="1" customWidth="true" width="6.33203125"/>
    <col min="2" max="2" customWidth="true" width="9.44140625"/>
    <col min="3" max="3" customWidth="true" width="28.33203125"/>
    <col min="4" max="4" customWidth="true" width="27.5546875"/>
    <col min="5" max="5" customWidth="true" width="5.109375"/>
    <col min="6" max="6" customWidth="true" width="9.5546875"/>
    <col min="7" max="7" customWidth="true" width="10.6640625"/>
    <col min="8" max="8" customWidth="true" width="11.44140625"/>
    <col min="9" max="9" customWidth="true" width="16.5546875"/>
    <col min="10" max="11" customWidth="true" width="11.33203125"/>
    <col min="12" max="12" customWidth="true" width="11.5546875"/>
    <col min="13" max="13" customWidth="true" width="10.109375"/>
    <col min="14" max="14" customWidth="true" width="10.44140625"/>
    <col min="15" max="15" customWidth="true" width="13.33203125"/>
    <col min="16" max="16" customWidth="true" width="12.33203125"/>
    <col min="17" max="17" customWidth="true" width="10.88671875"/>
    <col min="18" max="18" customWidth="true" width="11.5546875"/>
    <col min="20" max="20" bestFit="true" customWidth="true" width="14.5546875"/>
  </cols>
  <sheetData>
    <row r="1" spans="1:20" ht="16.2" thickBot="1" x14ac:dyDescent="0.35">
      <c r="A1" s="100" t="s">
        <v>11</v>
      </c>
      <c r="B1" s="100"/>
      <c r="C1" s="100"/>
      <c r="D1" s="100"/>
      <c r="E1" s="100"/>
      <c r="G1" s="99" t="s">
        <v>20</v>
      </c>
      <c r="H1" s="99"/>
      <c r="I1" s="99"/>
      <c r="J1" s="99"/>
      <c r="K1" s="99"/>
      <c r="L1" s="99"/>
      <c r="M1" s="99"/>
      <c r="N1" s="99"/>
      <c r="O1" s="6"/>
      <c r="P1" s="5" t="s">
        <v>21</v>
      </c>
      <c r="Q1" s="6" t="s">
        <v>138</v>
      </c>
    </row>
    <row r="2" spans="1:20" ht="13.8" thickTop="1" x14ac:dyDescent="0.25">
      <c r="A2" s="101" t="s">
        <v>10</v>
      </c>
      <c r="B2" s="101"/>
      <c r="C2" s="101"/>
      <c r="D2" s="101"/>
      <c r="E2" s="101"/>
    </row>
    <row r="3" spans="1:20" ht="13.8" thickBot="1" x14ac:dyDescent="0.3">
      <c r="A3" s="90" t="s">
        <v>9</v>
      </c>
      <c r="B3" s="90"/>
      <c r="C3" s="90"/>
      <c r="D3" s="90"/>
      <c r="E3" s="90"/>
      <c r="G3" s="94" t="s">
        <v>29</v>
      </c>
      <c r="H3" s="95"/>
      <c r="I3" s="21"/>
      <c r="J3" s="7"/>
      <c r="K3" s="7"/>
      <c r="L3" s="7"/>
      <c r="M3" s="22" t="s">
        <v>22</v>
      </c>
      <c r="N3" s="20">
        <v>1</v>
      </c>
      <c r="O3" s="88" t="s">
        <v>24</v>
      </c>
      <c r="P3" s="89"/>
      <c r="Q3" s="19" t="n">
        <f>+Q4*8</f>
        <v>2400000.0</v>
      </c>
    </row>
    <row r="4" spans="1:20" ht="13.8" x14ac:dyDescent="0.25">
      <c r="A4" s="90" t="s">
        <v>8</v>
      </c>
      <c r="B4" s="90"/>
      <c r="C4" s="90"/>
      <c r="D4" s="90"/>
      <c r="E4" s="90"/>
      <c r="G4" s="91" t="s">
        <v>25</v>
      </c>
      <c r="H4" s="92"/>
      <c r="I4" s="16" t="s">
        <v>139</v>
      </c>
      <c r="J4" s="16"/>
      <c r="K4" s="16"/>
      <c r="L4" s="16"/>
      <c r="M4" s="16"/>
      <c r="N4" s="17"/>
      <c r="O4" s="89" t="s">
        <v>33</v>
      </c>
      <c r="P4" s="89"/>
      <c r="Q4" s="19">
        <v>300000</v>
      </c>
    </row>
    <row r="5" spans="1:20" x14ac:dyDescent="0.25">
      <c r="A5" s="90" t="s">
        <v>7</v>
      </c>
      <c r="B5" s="90"/>
      <c r="C5" s="90"/>
      <c r="D5" s="90"/>
      <c r="E5" s="90"/>
      <c r="G5" s="91" t="s">
        <v>26</v>
      </c>
      <c r="H5" s="92"/>
      <c r="I5" s="1" t="s">
        <v>140</v>
      </c>
      <c r="J5" s="1"/>
      <c r="K5" s="1"/>
      <c r="L5" s="1"/>
      <c r="M5" s="1"/>
      <c r="N5" s="9"/>
    </row>
    <row r="6" spans="1:20" x14ac:dyDescent="0.25">
      <c r="A6" s="90" t="s">
        <v>43</v>
      </c>
      <c r="B6" s="90"/>
      <c r="C6" s="90"/>
      <c r="D6" s="90"/>
      <c r="E6" s="90"/>
      <c r="G6" s="91" t="s">
        <v>34</v>
      </c>
      <c r="H6" s="92"/>
      <c r="I6" s="1" t="s">
        <v>141</v>
      </c>
      <c r="J6" s="25" t="s">
        <v>35</v>
      </c>
      <c r="K6" s="25"/>
      <c r="L6" s="96" t="s">
        <v>142</v>
      </c>
      <c r="M6" s="93"/>
      <c r="N6" s="13"/>
      <c r="T6" s="1"/>
    </row>
    <row r="7" spans="1:20" x14ac:dyDescent="0.25">
      <c r="A7" s="1" t="s">
        <v>16</v>
      </c>
      <c r="G7" s="23" t="s">
        <v>27</v>
      </c>
      <c r="H7" s="93" t="s">
        <v>143</v>
      </c>
      <c r="I7" s="93"/>
      <c r="J7" s="25" t="s">
        <v>28</v>
      </c>
      <c r="K7" s="25"/>
      <c r="L7" s="93" t="s">
        <v>144</v>
      </c>
      <c r="M7" s="93"/>
      <c r="N7" s="13"/>
      <c r="T7" s="1"/>
    </row>
    <row r="8" spans="1:20" x14ac:dyDescent="0.25">
      <c r="A8" s="4" t="s">
        <v>17</v>
      </c>
      <c r="B8" s="4"/>
      <c r="C8" s="4"/>
      <c r="G8" s="24" t="s">
        <v>30</v>
      </c>
      <c r="H8" s="93"/>
      <c r="I8" s="93"/>
      <c r="J8" s="1"/>
      <c r="K8" s="1"/>
      <c r="L8" s="25" t="s">
        <v>31</v>
      </c>
      <c r="M8" s="11" t="s">
        <v>32</v>
      </c>
      <c r="N8" s="13"/>
    </row>
    <row r="9" spans="1:20" x14ac:dyDescent="0.25">
      <c r="A9" s="4" t="s">
        <v>18</v>
      </c>
      <c r="B9" s="1"/>
      <c r="C9" s="1"/>
      <c r="G9" s="97" t="s">
        <v>38</v>
      </c>
      <c r="H9" s="98"/>
      <c r="I9" s="12">
        <v>0.05</v>
      </c>
      <c r="J9" s="26" t="s">
        <v>23</v>
      </c>
      <c r="K9" s="26"/>
      <c r="L9" s="12">
        <v>0.01</v>
      </c>
      <c r="M9" s="8"/>
      <c r="N9" s="13"/>
    </row>
    <row r="10" spans="1:20" x14ac:dyDescent="0.25">
      <c r="A10" s="4" t="s">
        <v>19</v>
      </c>
      <c r="B10" s="1"/>
      <c r="C10" s="1"/>
      <c r="G10" s="97" t="s">
        <v>36</v>
      </c>
      <c r="H10" s="98"/>
      <c r="I10" s="1"/>
      <c r="J10" s="10"/>
      <c r="K10" s="10"/>
      <c r="L10" s="8"/>
      <c r="M10" s="8"/>
      <c r="N10" s="13"/>
    </row>
    <row r="11" spans="1:20" x14ac:dyDescent="0.25">
      <c r="A11" s="4" t="s">
        <v>137</v>
      </c>
      <c r="B11" s="1"/>
      <c r="C11" s="1"/>
      <c r="G11" s="18"/>
      <c r="H11" s="14"/>
      <c r="I11" s="14"/>
      <c r="J11" s="14"/>
      <c r="K11" s="14"/>
      <c r="L11" s="14"/>
      <c r="M11" s="84"/>
      <c r="N11" s="85"/>
    </row>
    <row r="12" spans="1:20" x14ac:dyDescent="0.25">
      <c r="A12" s="4" t="s">
        <v>136</v>
      </c>
      <c r="B12" s="1"/>
      <c r="C12" s="1"/>
    </row>
    <row r="14" spans="1:20" ht="30.6" x14ac:dyDescent="0.25">
      <c r="A14" s="27" t="s">
        <v>6</v>
      </c>
      <c r="B14" s="28" t="s">
        <v>5</v>
      </c>
      <c r="C14" s="28" t="s">
        <v>44</v>
      </c>
      <c r="D14" s="28" t="s">
        <v>45</v>
      </c>
      <c r="E14" s="28" t="s">
        <v>4</v>
      </c>
      <c r="F14" s="28" t="s">
        <v>3</v>
      </c>
      <c r="G14" s="28" t="s">
        <v>14</v>
      </c>
      <c r="H14" s="28" t="s">
        <v>2</v>
      </c>
      <c r="I14" s="28" t="s">
        <v>1</v>
      </c>
      <c r="J14" s="28" t="s">
        <v>15</v>
      </c>
      <c r="K14" s="28" t="s">
        <v>42</v>
      </c>
      <c r="L14" s="28" t="s">
        <v>39</v>
      </c>
      <c r="M14" s="28" t="s">
        <v>40</v>
      </c>
      <c r="N14" s="28" t="s">
        <v>41</v>
      </c>
      <c r="O14" s="29" t="s">
        <v>13</v>
      </c>
      <c r="P14" s="29" t="s">
        <v>0</v>
      </c>
      <c r="Q14" s="30" t="s">
        <v>12</v>
      </c>
      <c r="R14" s="30" t="s">
        <v>37</v>
      </c>
    </row>
    <row r="15" spans="1:20" x14ac:dyDescent="0.25">
      <c r="A15" s="15" t="n">
        <v>1.0</v>
      </c>
      <c r="B15" s="60" t="s">
        <v>145</v>
      </c>
      <c r="C15" s="60" t="s">
        <v>146</v>
      </c>
      <c r="D15" s="60" t="s">
        <v>147</v>
      </c>
      <c r="E15" s="60" t="s">
        <v>148</v>
      </c>
      <c r="F15" s="60" t="n">
        <v>30761.0</v>
      </c>
      <c r="G15" s="60" t="n">
        <v>37257.0</v>
      </c>
      <c r="H15" s="60"/>
      <c r="I15" s="60" t="s">
        <v>149</v>
      </c>
      <c r="J15" s="60" t="s">
        <v>150</v>
      </c>
      <c r="K15" s="60" t="s">
        <v>151</v>
      </c>
      <c r="L15" s="60" t="n">
        <v>5090000.0</v>
      </c>
      <c r="M15" s="60" t="n">
        <v>5190309.47</v>
      </c>
      <c r="N15" s="60" t="n">
        <v>5090000.0</v>
      </c>
      <c r="O15" s="60" t="n">
        <v>1.537030947E7</v>
      </c>
      <c r="P15" s="60" t="n">
        <v>6602880.0</v>
      </c>
      <c r="Q15" s="60" t="n">
        <v>330144.0</v>
      </c>
      <c r="R15" s="60" t="n">
        <v>66028.8</v>
      </c>
    </row>
    <row r="16" spans="1:20" x14ac:dyDescent="0.25">
      <c r="A16" s="15" t="n">
        <v>2.0</v>
      </c>
      <c r="B16" s="60" t="s">
        <v>152</v>
      </c>
      <c r="C16" s="60" t="s">
        <v>153</v>
      </c>
      <c r="D16" s="60" t="s">
        <v>154</v>
      </c>
      <c r="E16" s="60" t="s">
        <v>51</v>
      </c>
      <c r="F16" s="60" t="n">
        <v>31274.0</v>
      </c>
      <c r="G16" s="60" t="n">
        <v>37501.0</v>
      </c>
      <c r="H16" s="60"/>
      <c r="I16" s="60" t="s">
        <v>155</v>
      </c>
      <c r="J16" s="60" t="s">
        <v>156</v>
      </c>
      <c r="K16" s="60" t="s">
        <v>157</v>
      </c>
      <c r="L16" s="60" t="n">
        <v>3590000.0</v>
      </c>
      <c r="M16" s="60" t="n">
        <v>3662616.63</v>
      </c>
      <c r="N16" s="60" t="n">
        <v>3590000.0</v>
      </c>
      <c r="O16" s="60" t="n">
        <v>1.084261663E7</v>
      </c>
      <c r="P16" s="60" t="n">
        <v>6602880.0</v>
      </c>
      <c r="Q16" s="60" t="n">
        <v>330144.0</v>
      </c>
      <c r="R16" s="60" t="n">
        <v>66028.8</v>
      </c>
    </row>
    <row r="17" spans="1:18" x14ac:dyDescent="0.25">
      <c r="A17" s="15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</row>
    <row r="18" spans="1:18" x14ac:dyDescent="0.25">
      <c r="A18" s="15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</row>
    <row r="19" spans="1:18" x14ac:dyDescent="0.25">
      <c r="A19" s="15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</row>
    <row r="20" spans="1:18" x14ac:dyDescent="0.25">
      <c r="A20" s="15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</row>
    <row r="21" spans="1:18" x14ac:dyDescent="0.25">
      <c r="A21" s="15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</row>
    <row r="22" spans="1:18" x14ac:dyDescent="0.25">
      <c r="A22" s="15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</row>
    <row r="23" spans="1:18" x14ac:dyDescent="0.25">
      <c r="A23" s="15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</row>
    <row r="24" spans="1:18" ht="13.8" thickBot="1" x14ac:dyDescent="0.3">
      <c r="A24" s="15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</row>
    <row r="25" spans="1:18" ht="14.4" thickTop="1" thickBot="1" x14ac:dyDescent="0.3">
      <c r="A25" s="1"/>
      <c r="B25" s="62"/>
      <c r="C25" s="62"/>
      <c r="D25" s="63"/>
      <c r="E25" s="63"/>
      <c r="F25" s="63"/>
      <c r="G25" s="64"/>
      <c r="H25" s="64"/>
      <c r="I25" s="65"/>
      <c r="J25" s="86" t="s">
        <v>74</v>
      </c>
      <c r="K25" s="87"/>
      <c r="L25" s="66" t="n">
        <f>SUM(L15:L16)</f>
        <v>8680000.0</v>
      </c>
      <c r="M25" s="66" t="n">
        <f>SUM(M15:M16)</f>
        <v>8852926.1</v>
      </c>
      <c r="N25" s="66" t="n">
        <f>SUM(N15:N16)</f>
        <v>8680000.0</v>
      </c>
      <c r="O25" s="66" t="n">
        <f>SUM(O15:O16)</f>
        <v>2.62129261E7</v>
      </c>
      <c r="P25" s="66" t="n">
        <f>SUM(P15:P16)</f>
        <v>1.320576E7</v>
      </c>
      <c r="Q25" s="66" t="n">
        <f>SUM(Q15:Q16)</f>
        <v>660288.0</v>
      </c>
      <c r="R25" s="67" t="n">
        <f>SUM(R15:R16)</f>
        <v>132057.6</v>
      </c>
    </row>
    <row r="26" spans="1:18" ht="13.8" thickTop="1" x14ac:dyDescent="0.25">
      <c r="A26" s="1"/>
      <c r="B26" s="3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1"/>
      <c r="P26" s="1"/>
      <c r="Q26" s="1"/>
      <c r="R26" s="1"/>
    </row>
    <row r="27" spans="1:18" ht="13.8" x14ac:dyDescent="0.3">
      <c r="A27" s="1"/>
      <c r="B27" s="37" t="s">
        <v>111</v>
      </c>
      <c r="C27" s="38"/>
      <c r="D27" s="38"/>
      <c r="E27" s="38"/>
      <c r="F27" s="38"/>
      <c r="G27" s="38"/>
      <c r="H27" s="38"/>
      <c r="I27" s="38"/>
      <c r="J27" s="54"/>
      <c r="K27" s="55" t="s">
        <v>90</v>
      </c>
      <c r="L27" s="54"/>
      <c r="M27" s="54"/>
      <c r="N27" s="38"/>
      <c r="O27" s="1"/>
      <c r="P27" s="1"/>
      <c r="Q27" s="1"/>
      <c r="R27" s="1"/>
    </row>
    <row r="28" spans="1:18" ht="13.8" x14ac:dyDescent="0.3">
      <c r="A28" s="1"/>
      <c r="B28" s="38"/>
      <c r="C28" s="38"/>
      <c r="D28" s="38"/>
      <c r="E28" s="38"/>
      <c r="F28" s="38"/>
      <c r="G28" s="38"/>
      <c r="H28" s="38"/>
      <c r="I28" s="38"/>
      <c r="J28" s="54"/>
      <c r="K28" s="54"/>
      <c r="L28" s="54"/>
      <c r="M28" s="54"/>
      <c r="N28" s="38"/>
      <c r="O28" s="1"/>
      <c r="P28" s="1"/>
      <c r="Q28" s="1"/>
      <c r="R28" s="1"/>
    </row>
    <row r="29" spans="1:18" ht="13.8" x14ac:dyDescent="0.3">
      <c r="A29" s="1"/>
      <c r="B29" s="59" t="s">
        <v>91</v>
      </c>
      <c r="C29" s="80" t="s">
        <v>92</v>
      </c>
      <c r="D29" s="80"/>
      <c r="E29" s="80"/>
      <c r="F29" s="80"/>
      <c r="G29" s="80"/>
      <c r="H29" s="58" t="s">
        <v>93</v>
      </c>
      <c r="I29" s="39" t="s">
        <v>94</v>
      </c>
      <c r="J29" s="56" t="s">
        <v>125</v>
      </c>
      <c r="K29" s="56"/>
      <c r="L29" s="56"/>
      <c r="M29" s="56"/>
      <c r="N29" s="1"/>
      <c r="O29" s="1"/>
      <c r="P29" s="1"/>
      <c r="Q29" s="1"/>
    </row>
    <row r="30" spans="1:18" ht="13.8" x14ac:dyDescent="0.3">
      <c r="B30" s="43" t="s">
        <v>46</v>
      </c>
      <c r="C30" s="81" t="s">
        <v>113</v>
      </c>
      <c r="D30" s="82"/>
      <c r="E30" s="82"/>
      <c r="F30" s="82"/>
      <c r="G30" s="83"/>
      <c r="H30" s="44"/>
      <c r="I30" s="38"/>
      <c r="J30" s="56" t="s">
        <v>95</v>
      </c>
      <c r="K30" s="56"/>
      <c r="L30" s="56"/>
      <c r="M30" s="56"/>
    </row>
    <row r="31" spans="1:18" ht="13.8" x14ac:dyDescent="0.3">
      <c r="B31" s="45" t="s">
        <v>47</v>
      </c>
      <c r="C31" s="76" t="s">
        <v>114</v>
      </c>
      <c r="D31" s="77"/>
      <c r="E31" s="77"/>
      <c r="F31" s="77"/>
      <c r="G31" s="78"/>
      <c r="H31" s="46"/>
      <c r="I31" s="39"/>
      <c r="J31" s="56"/>
      <c r="K31" s="56"/>
      <c r="L31" s="56"/>
      <c r="M31" s="56"/>
    </row>
    <row r="32" spans="1:18" ht="13.8" x14ac:dyDescent="0.3">
      <c r="B32" s="45" t="s">
        <v>48</v>
      </c>
      <c r="C32" s="76" t="s">
        <v>96</v>
      </c>
      <c r="D32" s="77"/>
      <c r="E32" s="77"/>
      <c r="F32" s="77"/>
      <c r="G32" s="78"/>
      <c r="H32" s="46"/>
      <c r="I32" s="40" t="s">
        <v>98</v>
      </c>
      <c r="J32" s="56" t="s">
        <v>134</v>
      </c>
      <c r="K32" s="56"/>
      <c r="L32" s="56"/>
      <c r="M32" s="56"/>
    </row>
    <row r="33" spans="2:13" ht="13.8" x14ac:dyDescent="0.3">
      <c r="B33" s="45" t="s">
        <v>49</v>
      </c>
      <c r="C33" s="76" t="s">
        <v>97</v>
      </c>
      <c r="D33" s="77"/>
      <c r="E33" s="77"/>
      <c r="F33" s="77"/>
      <c r="G33" s="78"/>
      <c r="H33" s="46"/>
      <c r="I33" s="38"/>
      <c r="J33" s="56"/>
      <c r="K33" s="56"/>
      <c r="L33" s="56"/>
      <c r="M33" s="56"/>
    </row>
    <row r="34" spans="2:13" ht="13.8" x14ac:dyDescent="0.3">
      <c r="B34" s="45" t="s">
        <v>50</v>
      </c>
      <c r="C34" s="76" t="s">
        <v>115</v>
      </c>
      <c r="D34" s="77"/>
      <c r="E34" s="77"/>
      <c r="F34" s="77"/>
      <c r="G34" s="78"/>
      <c r="H34" s="47" t="s">
        <v>116</v>
      </c>
      <c r="I34" s="40" t="s">
        <v>98</v>
      </c>
      <c r="J34" s="79" t="s">
        <v>124</v>
      </c>
      <c r="K34" s="79"/>
      <c r="L34" s="79"/>
      <c r="M34" s="79"/>
    </row>
    <row r="35" spans="2:13" ht="13.8" x14ac:dyDescent="0.3">
      <c r="B35" s="45" t="s">
        <v>51</v>
      </c>
      <c r="C35" s="76" t="s">
        <v>123</v>
      </c>
      <c r="D35" s="77"/>
      <c r="E35" s="77"/>
      <c r="F35" s="77"/>
      <c r="G35" s="78"/>
      <c r="H35" s="48">
        <v>30469</v>
      </c>
      <c r="I35" s="38"/>
      <c r="J35" s="79" t="s">
        <v>99</v>
      </c>
      <c r="K35" s="79"/>
      <c r="L35" s="79"/>
      <c r="M35" s="79"/>
    </row>
    <row r="36" spans="2:13" ht="13.8" x14ac:dyDescent="0.3">
      <c r="B36" s="45" t="s">
        <v>52</v>
      </c>
      <c r="C36" s="76" t="s">
        <v>132</v>
      </c>
      <c r="D36" s="77"/>
      <c r="E36" s="77"/>
      <c r="F36" s="77"/>
      <c r="G36" s="78"/>
      <c r="H36" s="48">
        <v>42739</v>
      </c>
      <c r="I36" s="39"/>
      <c r="J36" s="57"/>
      <c r="K36" s="57"/>
      <c r="L36" s="57"/>
      <c r="M36" s="57"/>
    </row>
    <row r="37" spans="2:13" ht="13.8" x14ac:dyDescent="0.3">
      <c r="B37" s="45" t="s">
        <v>53</v>
      </c>
      <c r="C37" s="68" t="s">
        <v>108</v>
      </c>
      <c r="D37" s="69"/>
      <c r="E37" s="69"/>
      <c r="F37" s="69"/>
      <c r="G37" s="70"/>
      <c r="H37" s="46"/>
      <c r="I37" s="39" t="s">
        <v>94</v>
      </c>
      <c r="J37" s="57" t="s">
        <v>104</v>
      </c>
      <c r="K37" s="57"/>
      <c r="L37" s="57"/>
      <c r="M37" s="57"/>
    </row>
    <row r="38" spans="2:13" ht="13.8" x14ac:dyDescent="0.3">
      <c r="B38" s="45"/>
      <c r="C38" s="68" t="s">
        <v>117</v>
      </c>
      <c r="D38" s="69"/>
      <c r="E38" s="69"/>
      <c r="F38" s="69"/>
      <c r="G38" s="70"/>
      <c r="H38" s="48">
        <v>42739</v>
      </c>
      <c r="I38" s="38"/>
      <c r="J38" s="56"/>
      <c r="K38" s="56"/>
      <c r="L38" s="56"/>
      <c r="M38" s="56"/>
    </row>
    <row r="39" spans="2:13" ht="13.8" x14ac:dyDescent="0.3">
      <c r="B39" s="45" t="s">
        <v>54</v>
      </c>
      <c r="C39" s="68" t="s">
        <v>131</v>
      </c>
      <c r="D39" s="69"/>
      <c r="E39" s="69"/>
      <c r="F39" s="69"/>
      <c r="G39" s="70"/>
      <c r="H39" s="47"/>
      <c r="I39" s="39" t="s">
        <v>94</v>
      </c>
      <c r="J39" s="57" t="s">
        <v>107</v>
      </c>
      <c r="K39" s="57"/>
      <c r="L39" s="57"/>
      <c r="M39" s="57"/>
    </row>
    <row r="40" spans="2:13" ht="13.8" x14ac:dyDescent="0.3">
      <c r="B40" s="45" t="s">
        <v>55</v>
      </c>
      <c r="C40" s="68" t="s">
        <v>100</v>
      </c>
      <c r="D40" s="69"/>
      <c r="E40" s="69"/>
      <c r="F40" s="69"/>
      <c r="G40" s="70"/>
      <c r="H40" s="46" t="s">
        <v>101</v>
      </c>
      <c r="I40" s="38"/>
      <c r="J40" s="57"/>
      <c r="K40" s="57"/>
      <c r="L40" s="57"/>
      <c r="M40" s="57"/>
    </row>
    <row r="41" spans="2:13" ht="13.8" x14ac:dyDescent="0.3">
      <c r="B41" s="45"/>
      <c r="C41" s="68" t="s">
        <v>102</v>
      </c>
      <c r="D41" s="69"/>
      <c r="E41" s="69"/>
      <c r="F41" s="69"/>
      <c r="G41" s="70"/>
      <c r="H41" s="53" t="s">
        <v>103</v>
      </c>
      <c r="I41" s="39" t="s">
        <v>94</v>
      </c>
      <c r="J41" s="57" t="s">
        <v>127</v>
      </c>
      <c r="K41" s="57"/>
      <c r="L41" s="57"/>
      <c r="M41" s="57"/>
    </row>
    <row r="42" spans="2:13" ht="13.8" x14ac:dyDescent="0.3">
      <c r="B42" s="45"/>
      <c r="C42" s="68" t="s">
        <v>105</v>
      </c>
      <c r="D42" s="69"/>
      <c r="E42" s="69"/>
      <c r="F42" s="69"/>
      <c r="G42" s="70"/>
      <c r="H42" s="49" t="s">
        <v>106</v>
      </c>
      <c r="I42" s="38"/>
      <c r="J42" s="57" t="s">
        <v>126</v>
      </c>
      <c r="K42" s="57"/>
      <c r="L42" s="57"/>
      <c r="M42" s="57"/>
    </row>
    <row r="43" spans="2:13" ht="13.8" x14ac:dyDescent="0.3">
      <c r="B43" s="45" t="s">
        <v>56</v>
      </c>
      <c r="C43" s="68" t="s">
        <v>133</v>
      </c>
      <c r="D43" s="69"/>
      <c r="E43" s="69"/>
      <c r="F43" s="69"/>
      <c r="G43" s="70"/>
      <c r="H43" s="47"/>
      <c r="I43" s="38"/>
      <c r="J43" s="38"/>
      <c r="K43" s="38"/>
      <c r="L43" s="38"/>
      <c r="M43" s="38"/>
    </row>
    <row r="44" spans="2:13" ht="13.8" x14ac:dyDescent="0.3">
      <c r="B44" s="45" t="s">
        <v>112</v>
      </c>
      <c r="C44" s="68" t="s">
        <v>109</v>
      </c>
      <c r="D44" s="69"/>
      <c r="E44" s="69"/>
      <c r="F44" s="69"/>
      <c r="G44" s="70"/>
      <c r="H44" s="50">
        <v>1234567</v>
      </c>
      <c r="I44" s="39" t="s">
        <v>94</v>
      </c>
      <c r="J44" s="57" t="s">
        <v>128</v>
      </c>
      <c r="K44" s="57"/>
      <c r="L44" s="38"/>
      <c r="M44" s="38"/>
    </row>
    <row r="45" spans="2:13" ht="13.8" x14ac:dyDescent="0.3">
      <c r="B45" s="45"/>
      <c r="C45" s="68" t="s">
        <v>110</v>
      </c>
      <c r="D45" s="69"/>
      <c r="E45" s="69"/>
      <c r="F45" s="69"/>
      <c r="G45" s="70"/>
      <c r="H45" s="50"/>
      <c r="I45" s="38"/>
      <c r="J45" s="57" t="s">
        <v>129</v>
      </c>
      <c r="K45" s="57"/>
      <c r="L45" s="38"/>
      <c r="M45" s="38"/>
    </row>
    <row r="46" spans="2:13" ht="13.8" x14ac:dyDescent="0.3">
      <c r="B46" s="45" t="s">
        <v>57</v>
      </c>
      <c r="C46" s="68" t="s">
        <v>118</v>
      </c>
      <c r="D46" s="69"/>
      <c r="E46" s="69"/>
      <c r="F46" s="69"/>
      <c r="G46" s="70"/>
      <c r="H46" s="50"/>
      <c r="I46" s="38"/>
      <c r="J46" s="72" t="s">
        <v>135</v>
      </c>
      <c r="K46" s="38"/>
      <c r="L46" s="71"/>
      <c r="M46" s="38"/>
    </row>
    <row r="47" spans="2:13" ht="13.8" x14ac:dyDescent="0.3">
      <c r="B47" s="45" t="s">
        <v>58</v>
      </c>
      <c r="C47" s="68" t="s">
        <v>122</v>
      </c>
      <c r="D47" s="69"/>
      <c r="E47" s="69"/>
      <c r="F47" s="69"/>
      <c r="G47" s="70"/>
      <c r="H47" s="50"/>
      <c r="I47" s="39"/>
      <c r="K47" s="38"/>
      <c r="L47" s="38"/>
      <c r="M47" s="38"/>
    </row>
    <row r="48" spans="2:13" ht="13.8" x14ac:dyDescent="0.3">
      <c r="B48" s="45"/>
      <c r="C48" s="68" t="s">
        <v>121</v>
      </c>
      <c r="D48" s="69"/>
      <c r="E48" s="69"/>
      <c r="F48" s="69"/>
      <c r="G48" s="70"/>
      <c r="H48" s="50"/>
      <c r="I48" s="39" t="s">
        <v>94</v>
      </c>
      <c r="J48" s="57" t="s">
        <v>130</v>
      </c>
      <c r="K48" s="57"/>
      <c r="L48" s="38"/>
      <c r="M48" s="38"/>
    </row>
    <row r="49" spans="2:13" ht="13.8" x14ac:dyDescent="0.3">
      <c r="B49" s="45" t="s">
        <v>59</v>
      </c>
      <c r="C49" s="68" t="s">
        <v>119</v>
      </c>
      <c r="D49" s="69"/>
      <c r="E49" s="69"/>
      <c r="F49" s="69"/>
      <c r="G49" s="70"/>
      <c r="H49" s="50"/>
      <c r="K49" s="42"/>
      <c r="L49" s="42"/>
      <c r="M49" s="42"/>
    </row>
    <row r="50" spans="2:13" ht="13.8" x14ac:dyDescent="0.3">
      <c r="B50" s="51" t="s">
        <v>60</v>
      </c>
      <c r="C50" s="73" t="s">
        <v>120</v>
      </c>
      <c r="D50" s="74"/>
      <c r="E50" s="74"/>
      <c r="F50" s="74"/>
      <c r="G50" s="75"/>
      <c r="H50" s="52"/>
      <c r="I50" s="38"/>
      <c r="J50" s="57"/>
      <c r="K50" s="38"/>
      <c r="L50" s="38"/>
      <c r="M50" s="38"/>
    </row>
    <row r="51" spans="2:13" ht="13.8" x14ac:dyDescent="0.3">
      <c r="I51" s="38"/>
    </row>
    <row r="52" spans="2:13" ht="13.8" x14ac:dyDescent="0.3">
      <c r="B52" s="38"/>
      <c r="C52" s="38"/>
      <c r="D52" s="38"/>
      <c r="E52" s="38"/>
      <c r="F52" s="38"/>
      <c r="G52" s="38"/>
      <c r="H52" s="38"/>
      <c r="I52" s="38"/>
      <c r="J52" s="38"/>
    </row>
    <row r="53" spans="2:13" ht="13.8" x14ac:dyDescent="0.3">
      <c r="B53" s="41"/>
      <c r="C53" s="41"/>
      <c r="D53" s="41"/>
      <c r="E53" s="41"/>
      <c r="F53" s="41"/>
      <c r="G53" s="41"/>
      <c r="H53" s="41"/>
      <c r="I53" s="41"/>
      <c r="J53" s="38"/>
    </row>
  </sheetData>
  <mergeCells count="32">
    <mergeCell ref="G10:H10"/>
    <mergeCell ref="G1:N1"/>
    <mergeCell ref="A1:E1"/>
    <mergeCell ref="A2:E2"/>
    <mergeCell ref="A3:E3"/>
    <mergeCell ref="A4:E4"/>
    <mergeCell ref="G9:H9"/>
    <mergeCell ref="H8:I8"/>
    <mergeCell ref="O3:P3"/>
    <mergeCell ref="A6:E6"/>
    <mergeCell ref="G4:H4"/>
    <mergeCell ref="G5:H5"/>
    <mergeCell ref="H7:I7"/>
    <mergeCell ref="L7:M7"/>
    <mergeCell ref="G3:H3"/>
    <mergeCell ref="A5:E5"/>
    <mergeCell ref="O4:P4"/>
    <mergeCell ref="G6:H6"/>
    <mergeCell ref="L6:M6"/>
    <mergeCell ref="J34:M34"/>
    <mergeCell ref="J35:M35"/>
    <mergeCell ref="C29:G29"/>
    <mergeCell ref="C30:G30"/>
    <mergeCell ref="M11:N11"/>
    <mergeCell ref="J25:K25"/>
    <mergeCell ref="C50:G50"/>
    <mergeCell ref="C31:G31"/>
    <mergeCell ref="C32:G32"/>
    <mergeCell ref="C33:G33"/>
    <mergeCell ref="C36:G36"/>
    <mergeCell ref="C34:G34"/>
    <mergeCell ref="C35:G35"/>
  </mergeCells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31"/>
  <sheetViews>
    <sheetView workbookViewId="0">
      <selection activeCell="F31" sqref="F31"/>
    </sheetView>
  </sheetViews>
  <sheetFormatPr baseColWidth="10" defaultRowHeight="13.2" x14ac:dyDescent="0.25"/>
  <cols>
    <col min="2" max="2" customWidth="true" width="29.33203125"/>
  </cols>
  <sheetData>
    <row r="1" spans="1:6" ht="13.8" x14ac:dyDescent="0.25">
      <c r="A1" s="36" t="s">
        <v>76</v>
      </c>
    </row>
    <row r="3" spans="1:6" x14ac:dyDescent="0.25">
      <c r="B3" t="s" s="0">
        <v>77</v>
      </c>
      <c r="C3" s="102"/>
      <c r="D3" s="102"/>
      <c r="E3" s="102"/>
      <c r="F3" s="102"/>
    </row>
    <row r="4" spans="1:6" x14ac:dyDescent="0.25">
      <c r="B4" t="s" s="0">
        <v>61</v>
      </c>
      <c r="C4" s="102" t="s">
        <v>139</v>
      </c>
      <c r="D4" s="102"/>
      <c r="E4" s="102"/>
      <c r="F4" s="102"/>
    </row>
    <row r="5" spans="1:6" x14ac:dyDescent="0.25">
      <c r="B5" t="s" s="0">
        <v>62</v>
      </c>
      <c r="C5" s="102" t="s">
        <v>141</v>
      </c>
      <c r="D5" s="102"/>
      <c r="E5" s="102"/>
      <c r="F5" s="102"/>
    </row>
    <row r="6" spans="1:6" x14ac:dyDescent="0.25">
      <c r="B6" t="s" s="0">
        <v>63</v>
      </c>
      <c r="C6" s="102" t="s">
        <v>140</v>
      </c>
      <c r="D6" s="102"/>
      <c r="E6" s="102"/>
      <c r="F6" s="102"/>
    </row>
    <row r="7" spans="1:6" x14ac:dyDescent="0.25">
      <c r="B7" t="s" s="0">
        <v>64</v>
      </c>
      <c r="C7" s="102" t="s">
        <v>142</v>
      </c>
      <c r="D7" s="102"/>
      <c r="E7" s="102"/>
      <c r="F7" s="102"/>
    </row>
    <row r="9" spans="1:6" x14ac:dyDescent="0.25">
      <c r="A9" s="32" t="s">
        <v>65</v>
      </c>
    </row>
    <row r="10" spans="1:6" x14ac:dyDescent="0.25">
      <c r="A10" s="32"/>
      <c r="B10" t="s" s="0">
        <v>21</v>
      </c>
      <c r="C10" s="31" t="n">
        <v>1.0</v>
      </c>
    </row>
    <row r="11" spans="1:6" x14ac:dyDescent="0.25">
      <c r="A11" s="32"/>
      <c r="B11" t="s" s="0">
        <v>78</v>
      </c>
      <c r="C11" s="31" t="n">
        <v>2026.0</v>
      </c>
    </row>
    <row r="12" spans="1:6" x14ac:dyDescent="0.25">
      <c r="A12" s="32"/>
      <c r="B12" t="s" s="0">
        <v>79</v>
      </c>
      <c r="C12" s="31"/>
    </row>
    <row r="13" spans="1:6" x14ac:dyDescent="0.25">
      <c r="A13" s="32"/>
      <c r="B13" t="s" s="0">
        <v>80</v>
      </c>
      <c r="C13" s="31"/>
    </row>
    <row r="14" spans="1:6" x14ac:dyDescent="0.25">
      <c r="B14" t="s" s="0">
        <v>66</v>
      </c>
      <c r="C14" s="35">
        <v>0.05</v>
      </c>
    </row>
    <row r="15" spans="1:6" x14ac:dyDescent="0.25">
      <c r="B15" t="s" s="0">
        <v>67</v>
      </c>
      <c r="C15" s="35">
        <v>0.01</v>
      </c>
    </row>
    <row r="16" spans="1:6" x14ac:dyDescent="0.25">
      <c r="B16" t="s" s="0">
        <v>88</v>
      </c>
      <c r="C16" s="31"/>
    </row>
    <row r="17" spans="1:6" x14ac:dyDescent="0.25">
      <c r="B17" t="s" s="0">
        <v>89</v>
      </c>
      <c r="C17" s="31"/>
    </row>
    <row r="19" spans="1:6" x14ac:dyDescent="0.25">
      <c r="A19" s="32" t="s">
        <v>68</v>
      </c>
      <c r="C19" s="31"/>
      <c r="D19" s="31"/>
      <c r="E19" s="31"/>
    </row>
    <row r="20" spans="1:6" x14ac:dyDescent="0.25">
      <c r="A20" s="32"/>
      <c r="C20" t="s" s="0">
        <v>158</v>
      </c>
      <c r="D20" t="s" s="0">
        <v>159</v>
      </c>
      <c r="E20" t="s" s="0">
        <v>160</v>
      </c>
    </row>
    <row r="22" spans="1:6" x14ac:dyDescent="0.25">
      <c r="A22" s="32" t="s">
        <v>69</v>
      </c>
      <c r="C22" s="33" t="s">
        <v>70</v>
      </c>
      <c r="D22" s="33" t="s">
        <v>71</v>
      </c>
      <c r="E22" s="33" t="s">
        <v>72</v>
      </c>
    </row>
    <row r="23" spans="1:6" x14ac:dyDescent="0.25">
      <c r="A23" s="32"/>
      <c r="B23" s="34" t="s">
        <v>73</v>
      </c>
      <c r="C23" s="31" t="n">
        <v>2.0</v>
      </c>
      <c r="D23" s="31" t="n">
        <v>2.0</v>
      </c>
      <c r="E23" s="31" t="n">
        <v>2.0</v>
      </c>
      <c r="F23" s="33" t="s">
        <v>74</v>
      </c>
    </row>
    <row r="24" spans="1:6" x14ac:dyDescent="0.25">
      <c r="B24" s="31" t="s">
        <v>75</v>
      </c>
      <c r="C24" s="31" t="n">
        <v>8680000.0</v>
      </c>
      <c r="D24" s="31" t="n">
        <v>8852926.1</v>
      </c>
      <c r="E24" s="31" t="n">
        <v>8680000.0</v>
      </c>
      <c r="F24" s="31" t="n">
        <f>SUM(C24:E24)</f>
        <v>2.62129261E7</v>
      </c>
    </row>
    <row r="25" spans="1:6" x14ac:dyDescent="0.25">
      <c r="B25" s="31" t="s">
        <v>81</v>
      </c>
      <c r="C25" s="31" t="n">
        <v>4202880.0</v>
      </c>
      <c r="D25" s="31" t="n">
        <v>4202880.0</v>
      </c>
      <c r="E25" s="31" t="n">
        <v>4800000.0</v>
      </c>
      <c r="F25" s="31" t="n">
        <f>SUM(C25:E25)</f>
        <v>1.320576E7</v>
      </c>
    </row>
    <row r="26" spans="1:6" x14ac:dyDescent="0.25">
      <c r="B26" s="31" t="s">
        <v>82</v>
      </c>
      <c r="C26" s="31" t="n">
        <v>210144.0</v>
      </c>
      <c r="D26" s="31" t="n">
        <v>210144.0</v>
      </c>
      <c r="E26" s="31" t="n">
        <v>240000.0</v>
      </c>
      <c r="F26" s="31" t="n">
        <f>SUM(C26:E26)</f>
        <v>660288.0</v>
      </c>
    </row>
    <row r="27" spans="1:6" x14ac:dyDescent="0.25">
      <c r="B27" s="31" t="s">
        <v>83</v>
      </c>
      <c r="C27" s="31" t="n">
        <v>42028.8</v>
      </c>
      <c r="D27" s="31" t="n">
        <v>42028.8</v>
      </c>
      <c r="E27" s="31" t="n">
        <v>48000.0</v>
      </c>
      <c r="F27" s="31" t="n">
        <f>SUM(C27:E27)</f>
        <v>132057.6</v>
      </c>
    </row>
    <row r="28" spans="1:6" x14ac:dyDescent="0.25">
      <c r="B28" s="102" t="s">
        <v>84</v>
      </c>
      <c r="C28" s="102"/>
      <c r="D28" s="102"/>
      <c r="E28" s="102"/>
      <c r="F28" s="31" t="n">
        <f>SUM(F26:F27)</f>
        <v>792345.6</v>
      </c>
    </row>
    <row r="29" spans="1:6" x14ac:dyDescent="0.25">
      <c r="B29" s="102" t="s">
        <v>85</v>
      </c>
      <c r="C29" s="102"/>
      <c r="D29" s="102"/>
      <c r="E29" s="102"/>
      <c r="F29" s="31"/>
    </row>
    <row r="30" spans="1:6" x14ac:dyDescent="0.25">
      <c r="B30" s="102" t="s">
        <v>86</v>
      </c>
      <c r="C30" s="102"/>
      <c r="D30" s="102"/>
      <c r="E30" s="102"/>
      <c r="F30" s="31"/>
    </row>
    <row r="31" spans="1:6" x14ac:dyDescent="0.25">
      <c r="B31" s="103" t="s">
        <v>87</v>
      </c>
      <c r="C31" s="103"/>
      <c r="D31" s="103"/>
      <c r="E31" s="103"/>
      <c r="F31" s="31" t="n">
        <f>+F28+F29-F30</f>
        <v>792345.6</v>
      </c>
    </row>
  </sheetData>
  <mergeCells count="9">
    <mergeCell ref="B28:E28"/>
    <mergeCell ref="B29:E29"/>
    <mergeCell ref="B30:E30"/>
    <mergeCell ref="B31:E31"/>
    <mergeCell ref="C3:F3"/>
    <mergeCell ref="C4:F4"/>
    <mergeCell ref="C5:F5"/>
    <mergeCell ref="C6:F6"/>
    <mergeCell ref="C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DNS</vt:lpstr>
      <vt:lpstr>RECAP COTISATION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2016-05-31T07:49:32Z</dcterms:created>
  <dc:creator>PRINCIPALE</dc:creator>
  <cp:lastModifiedBy>USER</cp:lastModifiedBy>
  <cp:lastPrinted>2025-09-09T12:14:49Z</cp:lastPrinted>
  <dcterms:modified xsi:type="dcterms:W3CDTF">2026-07-03T12:26:29Z</dcterms:modified>
</cp:coreProperties>
</file>