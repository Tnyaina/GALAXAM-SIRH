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ynthèse" r:id="rId3" sheetId="1"/>
    <sheet name="Par salarié et mois" r:id="rId4" sheetId="2"/>
  </sheets>
</workbook>
</file>

<file path=xl/sharedStrings.xml><?xml version="1.0" encoding="utf-8"?>
<sst xmlns="http://schemas.openxmlformats.org/spreadsheetml/2006/main" count="64" uniqueCount="45">
  <si>
    <t>CONSOLIDATION SOCIALE · T1 2026</t>
  </si>
  <si>
    <t>Galaxam Logistics · contrôle interne avant préparation des modèles</t>
  </si>
  <si>
    <t>Organisme</t>
  </si>
  <si>
    <t>Salariés</t>
  </si>
  <si>
    <t>Part salarié (Ar)</t>
  </si>
  <si>
    <t>Part employeur (Ar)</t>
  </si>
  <si>
    <t>Total (Ar)</t>
  </si>
  <si>
    <t>CNaPS</t>
  </si>
  <si>
    <t>FMFP</t>
  </si>
  <si>
    <t>OSTIE</t>
  </si>
  <si>
    <t>OMSI</t>
  </si>
  <si>
    <t>TOTAL</t>
  </si>
  <si>
    <t/>
  </si>
  <si>
    <t>Mois</t>
  </si>
  <si>
    <t>Matricule</t>
  </si>
  <si>
    <t>Nom</t>
  </si>
  <si>
    <t>Prénoms</t>
  </si>
  <si>
    <t>N° CNaPS</t>
  </si>
  <si>
    <t>Brut</t>
  </si>
  <si>
    <t>Heures</t>
  </si>
  <si>
    <t>Base CNaPS non plafonnée</t>
  </si>
  <si>
    <t>Base CNaPS plafonnée</t>
  </si>
  <si>
    <t>CNaPS salarié</t>
  </si>
  <si>
    <t>CNaPS employeur</t>
  </si>
  <si>
    <t>Base FMFP</t>
  </si>
  <si>
    <t>FMFP employeur</t>
  </si>
  <si>
    <t>Base OSTIE non plafonnée</t>
  </si>
  <si>
    <t>Base OSTIE plafonnée</t>
  </si>
  <si>
    <t>OSTIE salarié</t>
  </si>
  <si>
    <t>OSTIE employeur</t>
  </si>
  <si>
    <t>Base OMSI non plafonnée</t>
  </si>
  <si>
    <t>Base OMSI plafonnée</t>
  </si>
  <si>
    <t>OMSI salarié</t>
  </si>
  <si>
    <t>OMSI employeur</t>
  </si>
  <si>
    <t>2026-01</t>
  </si>
  <si>
    <t>1</t>
  </si>
  <si>
    <t>RANDRASANA</t>
  </si>
  <si>
    <t>Eric Jean-Joel</t>
  </si>
  <si>
    <t>780531</t>
  </si>
  <si>
    <t>2026-02</t>
  </si>
  <si>
    <t>2026-03</t>
  </si>
  <si>
    <t>35</t>
  </si>
  <si>
    <t>RALAMBOMANANA</t>
  </si>
  <si>
    <t>Tatamo Michele</t>
  </si>
  <si>
    <t>819288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</si>
</sst>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07324A"/>
      </patternFill>
    </fill>
    <fill>
      <patternFill patternType="solid">
        <fgColor rgb="07324A"/>
      </patternFill>
    </fill>
    <fill>
      <patternFill patternType="none">
        <fgColor rgb="E1EDF2"/>
      </patternFill>
    </fill>
    <fill>
      <patternFill patternType="solid">
        <fgColor rgb="E1EDF2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4" xfId="0" applyFont="true" applyFill="true" applyAlignment="true" applyBorder="true">
      <alignment vertical="center"/>
    </xf>
    <xf numFmtId="0" fontId="3" fillId="5" borderId="4" xfId="0" applyFont="true" applyFill="true" applyBorder="true"/>
    <xf numFmtId="4" fontId="3" fillId="5" borderId="4" xfId="0" applyFont="true" applyFill="true" applyBorder="true" applyNumberFormat="true" applyAlignment="true">
      <alignment horizontal="right"/>
    </xf>
    <xf numFmtId="0" fontId="0" fillId="0" borderId="8" xfId="0" applyBorder="true"/>
    <xf numFmtId="4" fontId="0" fillId="0" borderId="8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 showGridLines="false"/>
  </sheetViews>
  <sheetFormatPr defaultRowHeight="15.0"/>
  <cols>
    <col min="1" max="1" width="33.203125" customWidth="true"/>
    <col min="2" max="2" width="24.21875" customWidth="true"/>
    <col min="3" max="3" width="24.21875" customWidth="true"/>
    <col min="4" max="4" width="24.21875" customWidth="true"/>
    <col min="5" max="5" width="24.21875" customWidth="true"/>
  </cols>
  <sheetData>
    <row r="1">
      <c r="A1" s="1" t="s">
        <v>0</v>
      </c>
    </row>
    <row r="2">
      <c r="A2" t="s" s="0">
        <v>1</v>
      </c>
    </row>
    <row r="4" ht="26.0" customHeight="tru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>
      <c r="A5" s="5" t="s">
        <v>7</v>
      </c>
      <c r="B5" s="5" t="n">
        <v>2.0</v>
      </c>
      <c r="C5" s="6" t="n">
        <v>132057.6</v>
      </c>
      <c r="D5" s="6" t="n">
        <v>1716748.8</v>
      </c>
      <c r="E5" s="6" t="n">
        <v>1848806.4</v>
      </c>
    </row>
    <row r="6">
      <c r="A6" s="5" t="s">
        <v>8</v>
      </c>
      <c r="B6" s="5" t="n">
        <v>2.0</v>
      </c>
      <c r="C6" s="6" t="n">
        <v>0.0</v>
      </c>
      <c r="D6" s="6" t="n">
        <v>132057.6</v>
      </c>
      <c r="E6" s="6" t="n">
        <v>132057.6</v>
      </c>
    </row>
    <row r="7">
      <c r="A7" s="5" t="s">
        <v>9</v>
      </c>
      <c r="B7" s="5" t="n">
        <v>2.0</v>
      </c>
      <c r="C7" s="6" t="n">
        <v>132057.6</v>
      </c>
      <c r="D7" s="6" t="n">
        <v>660288.0</v>
      </c>
      <c r="E7" s="6" t="n">
        <v>792345.6</v>
      </c>
    </row>
    <row r="8">
      <c r="A8" s="5" t="s">
        <v>10</v>
      </c>
      <c r="B8" s="5" t="n">
        <v>0.0</v>
      </c>
      <c r="C8" s="6" t="n">
        <v>0.0</v>
      </c>
      <c r="D8" s="6" t="n">
        <v>0.0</v>
      </c>
      <c r="E8" s="6" t="n">
        <v>0.0</v>
      </c>
    </row>
    <row r="9">
      <c r="A9" s="3" t="s">
        <v>11</v>
      </c>
      <c r="B9" s="3" t="s">
        <v>12</v>
      </c>
      <c r="C9" s="4" t="n">
        <f>SUM(C5:C8)</f>
        <v>264115.2</v>
      </c>
      <c r="D9" s="4" t="n">
        <f>SUM(D5:D8)</f>
        <v>2509094.4000000004</v>
      </c>
      <c r="E9" s="4" t="n">
        <f>SUM(E5:E8)</f>
        <v>2773209.6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3:U9"/>
  <sheetViews>
    <sheetView workbookViewId="0" showGridLines="false">
      <pane xSplit="5.0" ySplit="3.0" state="frozen" topLeftCell="F4" activePane="bottomRight"/>
      <selection pane="bottomRight"/>
    </sheetView>
  </sheetViews>
  <sheetFormatPr defaultRowHeight="15.0"/>
  <cols>
    <col min="1" max="1" width="18.75" customWidth="true"/>
    <col min="2" max="2" width="18.75" customWidth="true"/>
    <col min="3" max="3" width="29.296875" customWidth="true"/>
    <col min="4" max="4" width="29.29687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</cols>
  <sheetData>
    <row r="3" ht="26.0" customHeight="tru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</row>
    <row r="4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6" t="n">
        <v>5090000.0</v>
      </c>
      <c r="G4" s="6" t="n">
        <v>160.0</v>
      </c>
      <c r="H4" s="6" t="n">
        <v>5090000.0</v>
      </c>
      <c r="I4" s="6" t="n">
        <v>2101440.0</v>
      </c>
      <c r="J4" s="6" t="n">
        <v>21014.4</v>
      </c>
      <c r="K4" s="6" t="n">
        <v>273187.2</v>
      </c>
      <c r="L4" s="6" t="n">
        <v>2101440.0</v>
      </c>
      <c r="M4" s="6" t="n">
        <v>21014.4</v>
      </c>
      <c r="N4" s="6" t="n">
        <v>5090000.0</v>
      </c>
      <c r="O4" s="6" t="n">
        <v>2101440.0</v>
      </c>
      <c r="P4" s="6" t="n">
        <v>21014.4</v>
      </c>
      <c r="Q4" s="6" t="n">
        <v>105072.0</v>
      </c>
      <c r="R4" s="6" t="n">
        <v>5090000.0</v>
      </c>
      <c r="S4" s="6" t="n">
        <v>0.0</v>
      </c>
      <c r="T4" s="6" t="n">
        <v>0.0</v>
      </c>
      <c r="U4" s="6" t="n">
        <v>0.0</v>
      </c>
    </row>
    <row r="5">
      <c r="A5" s="5" t="s">
        <v>39</v>
      </c>
      <c r="B5" s="5" t="s">
        <v>35</v>
      </c>
      <c r="C5" s="5" t="s">
        <v>36</v>
      </c>
      <c r="D5" s="5" t="s">
        <v>37</v>
      </c>
      <c r="E5" s="5" t="s">
        <v>38</v>
      </c>
      <c r="F5" s="6" t="n">
        <v>5190309.47</v>
      </c>
      <c r="G5" s="6" t="n">
        <v>192.0</v>
      </c>
      <c r="H5" s="6" t="n">
        <v>5190309.47</v>
      </c>
      <c r="I5" s="6" t="n">
        <v>2101440.0</v>
      </c>
      <c r="J5" s="6" t="n">
        <v>21014.4</v>
      </c>
      <c r="K5" s="6" t="n">
        <v>273187.2</v>
      </c>
      <c r="L5" s="6" t="n">
        <v>2101440.0</v>
      </c>
      <c r="M5" s="6" t="n">
        <v>21014.4</v>
      </c>
      <c r="N5" s="6" t="n">
        <v>5190309.47</v>
      </c>
      <c r="O5" s="6" t="n">
        <v>2101440.0</v>
      </c>
      <c r="P5" s="6" t="n">
        <v>21014.4</v>
      </c>
      <c r="Q5" s="6" t="n">
        <v>105072.0</v>
      </c>
      <c r="R5" s="6" t="n">
        <v>5190309.47</v>
      </c>
      <c r="S5" s="6" t="n">
        <v>0.0</v>
      </c>
      <c r="T5" s="6" t="n">
        <v>0.0</v>
      </c>
      <c r="U5" s="6" t="n">
        <v>0.0</v>
      </c>
    </row>
    <row r="6">
      <c r="A6" s="5" t="s">
        <v>40</v>
      </c>
      <c r="B6" s="5" t="s">
        <v>35</v>
      </c>
      <c r="C6" s="5" t="s">
        <v>36</v>
      </c>
      <c r="D6" s="5" t="s">
        <v>37</v>
      </c>
      <c r="E6" s="5" t="s">
        <v>38</v>
      </c>
      <c r="F6" s="6" t="n">
        <v>5090000.0</v>
      </c>
      <c r="G6" s="6" t="n">
        <v>160.0</v>
      </c>
      <c r="H6" s="6" t="n">
        <v>5090000.0</v>
      </c>
      <c r="I6" s="6" t="n">
        <v>2400000.0</v>
      </c>
      <c r="J6" s="6" t="n">
        <v>24000.0</v>
      </c>
      <c r="K6" s="6" t="n">
        <v>312000.0</v>
      </c>
      <c r="L6" s="6" t="n">
        <v>2400000.0</v>
      </c>
      <c r="M6" s="6" t="n">
        <v>24000.0</v>
      </c>
      <c r="N6" s="6" t="n">
        <v>5090000.0</v>
      </c>
      <c r="O6" s="6" t="n">
        <v>2400000.0</v>
      </c>
      <c r="P6" s="6" t="n">
        <v>24000.0</v>
      </c>
      <c r="Q6" s="6" t="n">
        <v>120000.0</v>
      </c>
      <c r="R6" s="6" t="n">
        <v>5090000.0</v>
      </c>
      <c r="S6" s="6" t="n">
        <v>0.0</v>
      </c>
      <c r="T6" s="6" t="n">
        <v>0.0</v>
      </c>
      <c r="U6" s="6" t="n">
        <v>0.0</v>
      </c>
    </row>
    <row r="7">
      <c r="A7" s="5" t="s">
        <v>34</v>
      </c>
      <c r="B7" s="5" t="s">
        <v>41</v>
      </c>
      <c r="C7" s="5" t="s">
        <v>42</v>
      </c>
      <c r="D7" s="5" t="s">
        <v>43</v>
      </c>
      <c r="E7" s="5" t="s">
        <v>44</v>
      </c>
      <c r="F7" s="6" t="n">
        <v>3590000.0</v>
      </c>
      <c r="G7" s="6" t="n">
        <v>160.0</v>
      </c>
      <c r="H7" s="6" t="n">
        <v>3590000.0</v>
      </c>
      <c r="I7" s="6" t="n">
        <v>2101440.0</v>
      </c>
      <c r="J7" s="6" t="n">
        <v>21014.4</v>
      </c>
      <c r="K7" s="6" t="n">
        <v>273187.2</v>
      </c>
      <c r="L7" s="6" t="n">
        <v>2101440.0</v>
      </c>
      <c r="M7" s="6" t="n">
        <v>21014.4</v>
      </c>
      <c r="N7" s="6" t="n">
        <v>3590000.0</v>
      </c>
      <c r="O7" s="6" t="n">
        <v>2101440.0</v>
      </c>
      <c r="P7" s="6" t="n">
        <v>21014.4</v>
      </c>
      <c r="Q7" s="6" t="n">
        <v>105072.0</v>
      </c>
      <c r="R7" s="6" t="n">
        <v>3590000.0</v>
      </c>
      <c r="S7" s="6" t="n">
        <v>0.0</v>
      </c>
      <c r="T7" s="6" t="n">
        <v>0.0</v>
      </c>
      <c r="U7" s="6" t="n">
        <v>0.0</v>
      </c>
    </row>
    <row r="8">
      <c r="A8" s="5" t="s">
        <v>39</v>
      </c>
      <c r="B8" s="5" t="s">
        <v>41</v>
      </c>
      <c r="C8" s="5" t="s">
        <v>42</v>
      </c>
      <c r="D8" s="5" t="s">
        <v>43</v>
      </c>
      <c r="E8" s="5" t="s">
        <v>44</v>
      </c>
      <c r="F8" s="6" t="n">
        <v>3662616.63</v>
      </c>
      <c r="G8" s="6" t="n">
        <v>192.0</v>
      </c>
      <c r="H8" s="6" t="n">
        <v>3662616.63</v>
      </c>
      <c r="I8" s="6" t="n">
        <v>2101440.0</v>
      </c>
      <c r="J8" s="6" t="n">
        <v>21014.4</v>
      </c>
      <c r="K8" s="6" t="n">
        <v>273187.2</v>
      </c>
      <c r="L8" s="6" t="n">
        <v>2101440.0</v>
      </c>
      <c r="M8" s="6" t="n">
        <v>21014.4</v>
      </c>
      <c r="N8" s="6" t="n">
        <v>3662616.63</v>
      </c>
      <c r="O8" s="6" t="n">
        <v>2101440.0</v>
      </c>
      <c r="P8" s="6" t="n">
        <v>21014.4</v>
      </c>
      <c r="Q8" s="6" t="n">
        <v>105072.0</v>
      </c>
      <c r="R8" s="6" t="n">
        <v>3662616.63</v>
      </c>
      <c r="S8" s="6" t="n">
        <v>0.0</v>
      </c>
      <c r="T8" s="6" t="n">
        <v>0.0</v>
      </c>
      <c r="U8" s="6" t="n">
        <v>0.0</v>
      </c>
    </row>
    <row r="9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6" t="n">
        <v>3590000.0</v>
      </c>
      <c r="G9" s="6" t="n">
        <v>160.0</v>
      </c>
      <c r="H9" s="6" t="n">
        <v>3590000.0</v>
      </c>
      <c r="I9" s="6" t="n">
        <v>2400000.0</v>
      </c>
      <c r="J9" s="6" t="n">
        <v>24000.0</v>
      </c>
      <c r="K9" s="6" t="n">
        <v>312000.0</v>
      </c>
      <c r="L9" s="6" t="n">
        <v>2400000.0</v>
      </c>
      <c r="M9" s="6" t="n">
        <v>24000.0</v>
      </c>
      <c r="N9" s="6" t="n">
        <v>3590000.0</v>
      </c>
      <c r="O9" s="6" t="n">
        <v>2400000.0</v>
      </c>
      <c r="P9" s="6" t="n">
        <v>24000.0</v>
      </c>
      <c r="Q9" s="6" t="n">
        <v>120000.0</v>
      </c>
      <c r="R9" s="6" t="n">
        <v>3590000.0</v>
      </c>
      <c r="S9" s="6" t="n">
        <v>0.0</v>
      </c>
      <c r="T9" s="6" t="n">
        <v>0.0</v>
      </c>
      <c r="U9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2026-10-06T05:35:43Z</dcterms:created>
  <dc:creator>Apache POI</dc:creator>
</cp:coreProperties>
</file>