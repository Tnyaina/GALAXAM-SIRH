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1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MPLOYEUR checked" sheetId="1" state="visible" r:id="rId3"/>
    <sheet name="OMSI 2TRIM26" sheetId="2" state="visible" r:id="rId4"/>
  </sheets>
  <definedNames>
    <definedName function="false" hidden="false" localSheetId="0" name="_xlnm.Print_Area" vbProcedure="false">'EMPLOYEUR checked'!$A$1:$F$25</definedName>
    <definedName function="false" hidden="false" localSheetId="1" name="_xlnm.Print_Area" vbProcedure="false">'OMSI 2TRIM26'!$B$1:$O$22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<sst xmlns="http://schemas.openxmlformats.org/spreadsheetml/2006/main" count="66" uniqueCount="63">
  <si>
    <t xml:space="preserve">RENSEIGNEMENTS SUR L'EMPLOYEUR</t>
  </si>
  <si>
    <t xml:space="preserve">N° MATRICULE</t>
  </si>
  <si>
    <t xml:space="preserve">1768</t>
  </si>
  <si>
    <t xml:space="preserve">RAISON SOCIALE</t>
  </si>
  <si>
    <t xml:space="preserve">STE GALAXAM LOGISTICS</t>
  </si>
  <si>
    <t xml:space="preserve">N° NIF</t>
  </si>
  <si>
    <t xml:space="preserve">3000019434</t>
  </si>
  <si>
    <t xml:space="preserve">ADRESSE</t>
  </si>
  <si>
    <t xml:space="preserve">BP 9117 A ANDOHARANOFOTSY </t>
  </si>
  <si>
    <t xml:space="preserve">E-mail</t>
  </si>
  <si>
    <t xml:space="preserve">daf@galaxam.com</t>
  </si>
  <si>
    <t xml:space="preserve">COTISATIONS</t>
  </si>
  <si>
    <t xml:space="preserve">plafond</t>
  </si>
  <si>
    <t xml:space="preserve">Période et Année</t>
  </si>
  <si>
    <t xml:space="preserve">2-2026</t>
  </si>
  <si>
    <r>
      <rPr>
        <sz val="10"/>
        <color rgb="FF000000"/>
        <rFont val="Calibri"/>
        <family val="2"/>
        <charset val="1"/>
      </rPr>
      <t xml:space="preserve">fm 1</t>
    </r>
    <r>
      <rPr>
        <vertAlign val="superscript"/>
        <sz val="10"/>
        <color rgb="FF000000"/>
        <rFont val="Calibri"/>
        <family val="2"/>
        <charset val="1"/>
      </rPr>
      <t xml:space="preserve">er</t>
    </r>
    <r>
      <rPr>
        <sz val="10"/>
        <color rgb="FF000000"/>
        <rFont val="Calibri"/>
        <family val="2"/>
        <charset val="1"/>
      </rPr>
      <t xml:space="preserve"> Mars 26</t>
    </r>
  </si>
  <si>
    <t xml:space="preserve">Référence OV</t>
  </si>
  <si>
    <t xml:space="preserve">Taux Employeur</t>
  </si>
  <si>
    <t xml:space="preserve">5,5 %</t>
  </si>
  <si>
    <t xml:space="preserve">Taux Travailleur</t>
  </si>
  <si>
    <t xml:space="preserve">1,5 %</t>
  </si>
  <si>
    <t xml:space="preserve">MOIS CONCERNE</t>
  </si>
  <si>
    <t xml:space="preserve">April</t>
  </si>
  <si>
    <t xml:space="preserve">May</t>
  </si>
  <si>
    <t xml:space="preserve">June</t>
  </si>
  <si>
    <t xml:space="preserve">RECAPITULATION COTISATIONS SOCIALES</t>
  </si>
  <si>
    <t xml:space="preserve">TOTAUX</t>
  </si>
  <si>
    <t xml:space="preserve">Effectif mensuel </t>
  </si>
  <si>
    <t xml:space="preserve">Totaux Salaires plafonnés</t>
  </si>
  <si>
    <t xml:space="preserve">Cotisations Employeur</t>
  </si>
  <si>
    <t xml:space="preserve">Cotisations travailleurs</t>
  </si>
  <si>
    <t xml:space="preserve">ETAT DES COTISATIONS VERSÉES À L'OMSI AU TITRE DU</t>
  </si>
  <si>
    <t xml:space="preserve">2è mois</t>
  </si>
  <si>
    <t xml:space="preserve">TRIMESTRE</t>
  </si>
  <si>
    <t xml:space="preserve">Nom et Adresse de l'Adhérent</t>
  </si>
  <si>
    <t xml:space="preserve">OMSI</t>
  </si>
  <si>
    <t xml:space="preserve">GALAXAM LOGISTICS</t>
  </si>
  <si>
    <t xml:space="preserve">Organisation Médico-Sociale Inter-profesionnelle</t>
  </si>
  <si>
    <t xml:space="preserve">3è étage- Tour FORELLO- TANJOMBATO</t>
  </si>
  <si>
    <t xml:space="preserve">BP424</t>
  </si>
  <si>
    <t xml:space="preserve">Tel 032 12 131 01</t>
  </si>
  <si>
    <t xml:space="preserve">TOAMASINA</t>
  </si>
  <si>
    <t xml:space="preserve">Numero D'inscription </t>
  </si>
  <si>
    <t xml:space="preserve">Date</t>
  </si>
  <si>
    <t xml:space="preserve">april</t>
  </si>
  <si>
    <t xml:space="preserve">R</t>
  </si>
  <si>
    <t xml:space="preserve">Nom  </t>
  </si>
  <si>
    <t xml:space="preserve">Prénoms</t>
  </si>
  <si>
    <t xml:space="preserve">Mle</t>
  </si>
  <si>
    <t xml:space="preserve">Mle Cnaps</t>
  </si>
  <si>
    <t xml:space="preserve">entrée en cours du trimestre</t>
  </si>
  <si>
    <t xml:space="preserve">sortie au cours du trimestre</t>
  </si>
  <si>
    <t xml:space="preserve">1er mois</t>
  </si>
  <si>
    <t xml:space="preserve">3è mois</t>
  </si>
  <si>
    <t xml:space="preserve">total trimestriel salaire brut payé (plafonné)</t>
  </si>
  <si>
    <t xml:space="preserve">quote part Patronale</t>
  </si>
  <si>
    <t xml:space="preserve">quote part Salariale</t>
  </si>
  <si>
    <t xml:space="preserve">cotisation</t>
  </si>
  <si>
    <t xml:space="preserve">Antananarivo faha</t>
  </si>
  <si>
    <t xml:space="preserve">cotisation </t>
  </si>
  <si>
    <t xml:space="preserve">employeur</t>
  </si>
  <si>
    <t xml:space="preserve">travailleur</t>
  </si>
  <si>
    <t xml:space="preserve">Net à payer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</si>
</sst>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@"/>
    <numFmt numFmtId="166" formatCode="#,##0"/>
    <numFmt numFmtId="167" formatCode="#,##0.00"/>
    <numFmt numFmtId="168" formatCode="0.00\ %"/>
    <numFmt numFmtId="169" formatCode="0"/>
    <numFmt numFmtId="170" formatCode="_-* #,##0_-;\-* #,##0_-;_-* \-_-;_-@_-"/>
    <numFmt numFmtId="171" formatCode="dd/mm/yy"/>
    <numFmt numFmtId="172" formatCode="* #,##0.00&quot;    &quot;;\-* #,##0.00&quot;    &quot;;* \-#&quot;    &quot;;@\ "/>
    <numFmt numFmtId="173" formatCode="0.00"/>
    <numFmt numFmtId="174" formatCode="#,##0&quot;   &quot;;\-#,##0&quot;   &quot;"/>
  </numFmts>
  <fonts count="5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color rgb="FFCC0000"/>
      <name val="Calibri"/>
      <family val="2"/>
      <charset val="1"/>
    </font>
    <font>
      <b val="true"/>
      <sz val="24"/>
      <color rgb="FF000000"/>
      <name val="Calibri"/>
      <family val="2"/>
      <charset val="1"/>
    </font>
    <font>
      <b val="true"/>
      <sz val="10"/>
      <color rgb="FFFFFFFF"/>
      <name val="Calibri"/>
      <family val="2"/>
      <charset val="1"/>
    </font>
    <font>
      <i val="true"/>
      <sz val="10"/>
      <color rgb="FF808080"/>
      <name val="Calibri"/>
      <family val="2"/>
      <charset val="1"/>
    </font>
    <font>
      <sz val="10"/>
      <color rgb="FF017608"/>
      <name val="Calibri"/>
      <family val="2"/>
      <charset val="1"/>
    </font>
    <font>
      <sz val="18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u val="single"/>
      <sz val="10"/>
      <color rgb="FF080FB2"/>
      <name val="Calibri"/>
      <family val="2"/>
      <charset val="1"/>
    </font>
    <font>
      <sz val="10"/>
      <color rgb="FF996600"/>
      <name val="Calibri"/>
      <family val="2"/>
      <charset val="1"/>
    </font>
    <font>
      <sz val="10"/>
      <color rgb="FF2E3030"/>
      <name val="Calibri"/>
      <family val="2"/>
      <charset val="1"/>
    </font>
    <font>
      <b val="true"/>
      <u val="single"/>
      <sz val="10"/>
      <color rgb="FF00000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1"/>
      <color rgb="FF017608"/>
      <name val="Calibri"/>
      <family val="2"/>
      <charset val="1"/>
    </font>
    <font>
      <sz val="9"/>
      <color rgb="FF000000"/>
      <name val="Calibri"/>
      <family val="2"/>
      <charset val="1"/>
    </font>
    <font>
      <vertAlign val="superscript"/>
      <sz val="10"/>
      <color rgb="FF000000"/>
      <name val="Calibri"/>
      <family val="2"/>
      <charset val="1"/>
    </font>
    <font>
      <sz val="10"/>
      <color rgb="FF800080"/>
      <name val="Calibri"/>
      <family val="2"/>
      <charset val="1"/>
    </font>
    <font>
      <sz val="9"/>
      <name val="Calibri"/>
      <family val="2"/>
      <charset val="1"/>
    </font>
    <font>
      <b val="true"/>
      <sz val="9"/>
      <name val="Calibri"/>
      <family val="2"/>
      <charset val="1"/>
    </font>
    <font>
      <sz val="9"/>
      <color rgb="FFFF0000"/>
      <name val="Calibri"/>
      <family val="2"/>
      <charset val="1"/>
    </font>
    <font>
      <sz val="9"/>
      <color rgb="FF006600"/>
      <name val="Calibri"/>
      <family val="2"/>
      <charset val="1"/>
    </font>
    <font>
      <sz val="9"/>
      <color rgb="FF3465A4"/>
      <name val="Calibri"/>
      <family val="2"/>
      <charset val="1"/>
    </font>
    <font>
      <b val="true"/>
      <sz val="9"/>
      <color rgb="FF3465A4"/>
      <name val="Calibri"/>
      <family val="2"/>
      <charset val="1"/>
    </font>
    <font>
      <sz val="9"/>
      <color rgb="FF006400"/>
      <name val="Calibri"/>
      <family val="2"/>
      <charset val="1"/>
    </font>
    <font>
      <sz val="9"/>
      <color rgb="FF017608"/>
      <name val="Calibri"/>
      <family val="2"/>
      <charset val="1"/>
    </font>
    <font>
      <sz val="9"/>
      <color rgb="FF663300"/>
      <name val="Calibri"/>
      <family val="2"/>
      <charset val="1"/>
    </font>
    <font>
      <b val="true"/>
      <sz val="11"/>
      <color rgb="FF666666"/>
      <name val="Calibri"/>
      <family val="2"/>
      <charset val="1"/>
    </font>
    <font>
      <sz val="11"/>
      <color rgb="FF666666"/>
      <name val="Calibri"/>
      <family val="2"/>
      <charset val="1"/>
    </font>
    <font>
      <b val="true"/>
      <sz val="10"/>
      <color rgb="FF666666"/>
      <name val="Calibri"/>
      <family val="2"/>
      <charset val="1"/>
    </font>
    <font>
      <sz val="11"/>
      <color rgb="FF808080"/>
      <name val="Calibri"/>
      <family val="2"/>
      <charset val="1"/>
    </font>
    <font>
      <sz val="9"/>
      <color rgb="FF0000FF"/>
      <name val="Calibri"/>
      <family val="2"/>
      <charset val="1"/>
    </font>
    <font>
      <b val="true"/>
      <sz val="9"/>
      <color rgb="FF0000FF"/>
      <name val="Calibri"/>
      <family val="2"/>
      <charset val="1"/>
    </font>
    <font>
      <sz val="10"/>
      <color rgb="FF666666"/>
      <name val="Calibri"/>
      <family val="2"/>
      <charset val="1"/>
    </font>
    <font>
      <sz val="9"/>
      <color rgb="FF666666"/>
      <name val="Calibri"/>
      <family val="2"/>
      <charset val="1"/>
    </font>
    <font>
      <sz val="9"/>
      <color rgb="FFFFFFFF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1"/>
      <color rgb="FFFF0000"/>
      <name val="Calibri"/>
      <family val="2"/>
      <charset val="1"/>
    </font>
    <font>
      <b val="true"/>
      <i val="true"/>
      <sz val="11"/>
      <color rgb="FF000000"/>
      <name val="Calibri"/>
      <family val="2"/>
      <charset val="1"/>
    </font>
    <font>
      <i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0"/>
      <name val="Arial"/>
      <family val="0"/>
      <charset val="1"/>
    </font>
    <font>
      <sz val="10.5"/>
      <color rgb="FF000000"/>
      <name val="Calibri"/>
      <family val="2"/>
      <charset val="1"/>
    </font>
    <font>
      <sz val="11"/>
      <color rgb="FF333333"/>
      <name val="Calibri"/>
      <family val="2"/>
      <charset val="1"/>
    </font>
    <font>
      <i val="true"/>
      <sz val="11"/>
      <color rgb="FF801900"/>
      <name val="Calibri"/>
      <family val="2"/>
      <charset val="1"/>
    </font>
    <font>
      <sz val="11"/>
      <color rgb="FF000000"/>
      <name val="Calibri Light"/>
      <family val="2"/>
      <charset val="1"/>
    </font>
    <font>
      <sz val="11"/>
      <color rgb="FF801900"/>
      <name val="Calibri"/>
      <family val="2"/>
      <charset val="1"/>
    </font>
    <font>
      <sz val="11"/>
      <color rgb="FF355269"/>
      <name val="Calibri"/>
      <family val="2"/>
      <charset val="1"/>
    </font>
    <font>
      <sz val="11"/>
      <color rgb="FF069A2E"/>
      <name val="Calibri"/>
      <family val="2"/>
      <charset val="1"/>
    </font>
    <font>
      <sz val="11"/>
      <color rgb="FFC9211E"/>
      <name val="Calibri"/>
      <family val="2"/>
      <charset val="1"/>
    </font>
    <font>
      <sz val="10"/>
      <color rgb="FF801900"/>
      <name val="Calibri"/>
      <family val="2"/>
      <charset val="1"/>
    </font>
    <font>
      <sz val="11"/>
      <color rgb="FFFFFFFF"/>
      <name val="Calibri"/>
      <family val="2"/>
      <charset val="1"/>
    </font>
    <font>
      <b val="true"/>
      <sz val="11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000000"/>
        <bgColor rgb="FF000080"/>
      </patternFill>
    </fill>
    <fill>
      <patternFill patternType="solid">
        <fgColor rgb="FF808080"/>
        <bgColor rgb="FF969696"/>
      </patternFill>
    </fill>
    <fill>
      <patternFill patternType="solid">
        <fgColor rgb="FFDDDDDD"/>
        <bgColor rgb="FFFFCCCC"/>
      </patternFill>
    </fill>
    <fill>
      <patternFill patternType="solid">
        <fgColor rgb="FFFFCCCC"/>
        <bgColor rgb="FFDDDDDD"/>
      </patternFill>
    </fill>
    <fill>
      <patternFill patternType="solid">
        <fgColor rgb="FFFFFFCC"/>
        <bgColor rgb="FFFFF9C4"/>
      </patternFill>
    </fill>
    <fill>
      <patternFill patternType="solid">
        <fgColor rgb="FFCC0000"/>
        <bgColor rgb="FFC9211E"/>
      </patternFill>
    </fill>
    <fill>
      <patternFill patternType="solid">
        <fgColor rgb="FFCCFFCC"/>
        <bgColor rgb="FFCCFFFF"/>
      </patternFill>
    </fill>
    <fill>
      <patternFill patternType="solid">
        <fgColor rgb="FFFFF9C4"/>
        <bgColor rgb="FFFFFFCC"/>
      </patternFill>
    </fill>
    <fill>
      <patternFill patternType="solid">
        <fgColor rgb="FFB2FF59"/>
        <bgColor rgb="FFE8F2A1"/>
      </patternFill>
    </fill>
    <fill>
      <patternFill patternType="solid">
        <fgColor rgb="FFE8F2A1"/>
        <bgColor rgb="FFFFF9C4"/>
      </patternFill>
    </fill>
    <fill>
      <patternFill patternType="solid">
        <fgColor rgb="FF87D1D1"/>
        <bgColor rgb="FFC0C0C0"/>
      </patternFill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 diagonalUp="false" diagonalDown="false">
      <left style="hair">
        <color rgb="FF808080"/>
      </left>
      <right style="hair">
        <color rgb="FF808080"/>
      </right>
      <top style="hair">
        <color rgb="FF808080"/>
      </top>
      <bottom style="hair">
        <color rgb="FF808080"/>
      </bottom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/>
      <diagonal/>
    </border>
  </borders>
  <cellStyleXfs count="39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2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true" applyProtection="false">
      <alignment horizontal="general" vertical="bottom" textRotation="0" wrapText="false" indent="0" shrinkToFit="false"/>
    </xf>
    <xf numFmtId="164" fontId="4" fillId="3" borderId="0" applyFont="true" applyBorder="false" applyAlignment="true" applyProtection="false">
      <alignment horizontal="general" vertical="bottom" textRotation="0" wrapText="false" indent="0" shrinkToFit="false"/>
    </xf>
    <xf numFmtId="164" fontId="5" fillId="4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5" borderId="0" applyFont="true" applyBorder="false" applyAlignment="true" applyProtection="false">
      <alignment horizontal="general" vertical="bottom" textRotation="0" wrapText="false" indent="0" shrinkToFit="false"/>
    </xf>
    <xf numFmtId="164" fontId="0" fillId="6" borderId="1" applyFont="true" applyBorder="tru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8" fillId="7" borderId="0" applyFont="true" applyBorder="false" applyAlignment="true" applyProtection="false">
      <alignment horizontal="general" vertical="bottom" textRotation="0" wrapText="false" indent="0" shrinkToFit="false"/>
    </xf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10" fillId="8" borderId="0" applyFont="true" applyBorder="false" applyAlignment="true" applyProtection="false">
      <alignment horizontal="general" vertical="bottom" textRotation="0" wrapText="false" indent="0" shrinkToFit="false"/>
    </xf>
    <xf numFmtId="164" fontId="11" fillId="0" borderId="0" applyFont="true" applyBorder="false" applyAlignment="true" applyProtection="false">
      <alignment horizontal="general" vertical="bottom" textRotation="0" wrapText="false" indent="0" shrinkToFit="false"/>
    </xf>
    <xf numFmtId="164" fontId="12" fillId="0" borderId="0" applyFont="true" applyBorder="false" applyAlignment="true" applyProtection="false">
      <alignment horizontal="general" vertical="bottom" textRotation="0" wrapText="false" indent="0" shrinkToFit="false"/>
    </xf>
    <xf numFmtId="164" fontId="13" fillId="0" borderId="0" applyFont="true" applyBorder="false" applyAlignment="true" applyProtection="false">
      <alignment horizontal="general" vertical="bottom" textRotation="0" wrapText="false" indent="0" shrinkToFit="false"/>
    </xf>
    <xf numFmtId="164" fontId="14" fillId="6" borderId="0" applyFont="true" applyBorder="false" applyAlignment="true" applyProtection="false">
      <alignment horizontal="general" vertical="bottom" textRotation="0" wrapText="false" indent="0" shrinkToFit="false"/>
    </xf>
    <xf numFmtId="164" fontId="15" fillId="6" borderId="2" applyFont="true" applyBorder="tru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70" fontId="4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1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6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7" fillId="0" borderId="3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9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7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21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7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2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9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9" fillId="0" borderId="3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3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27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1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3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33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3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3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3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23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3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3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38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3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3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2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1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4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46" fillId="0" borderId="4" xfId="38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1" fontId="0" fillId="0" borderId="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48" fillId="0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" fillId="13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" fillId="13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4" fontId="5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51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1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4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48" fillId="13" borderId="4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5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46" fillId="0" borderId="0" xfId="38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25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ccent 1 1" xfId="20"/>
    <cellStyle name="Accent 2 1" xfId="21"/>
    <cellStyle name="Accent 3 1" xfId="22"/>
    <cellStyle name="Accent 4" xfId="23"/>
    <cellStyle name="Bad 1" xfId="24"/>
    <cellStyle name="Commentaire" xfId="25"/>
    <cellStyle name="En-tête" xfId="26"/>
    <cellStyle name="Error 1" xfId="27"/>
    <cellStyle name="Footnote 1" xfId="28"/>
    <cellStyle name="Good 1" xfId="29"/>
    <cellStyle name="Heading 1 1" xfId="30"/>
    <cellStyle name="Heading 2 1" xfId="31"/>
    <cellStyle name="Hyperlink 1" xfId="32"/>
    <cellStyle name="Neutral 1" xfId="33"/>
    <cellStyle name="Note 1" xfId="34"/>
    <cellStyle name="Status 1" xfId="35"/>
    <cellStyle name="Text 1" xfId="36"/>
    <cellStyle name="Warning 1" xfId="37"/>
    <cellStyle name="Excel Built-in Comma [0] 1" xfId="3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1900"/>
      <rgbColor rgb="FF017608"/>
      <rgbColor rgb="FF080FB2"/>
      <rgbColor rgb="FF996600"/>
      <rgbColor rgb="FF800080"/>
      <rgbColor rgb="FF006600"/>
      <rgbColor rgb="FFC0C0C0"/>
      <rgbColor rgb="FF808080"/>
      <rgbColor rgb="FF9999FF"/>
      <rgbColor rgb="FFC9211E"/>
      <rgbColor rgb="FFFFFFCC"/>
      <rgbColor rgb="FFE8F2A1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CC0000"/>
      <rgbColor rgb="FF008080"/>
      <rgbColor rgb="FF0000FF"/>
      <rgbColor rgb="FF00CCFF"/>
      <rgbColor rgb="FFCCFFFF"/>
      <rgbColor rgb="FFCCFFCC"/>
      <rgbColor rgb="FFFFF9C4"/>
      <rgbColor rgb="FF87D1D1"/>
      <rgbColor rgb="FFFF99CC"/>
      <rgbColor rgb="FFCC99FF"/>
      <rgbColor rgb="FFFFCCCC"/>
      <rgbColor rgb="FF3465A4"/>
      <rgbColor rgb="FF33CCCC"/>
      <rgbColor rgb="FFB2FF59"/>
      <rgbColor rgb="FFFFCC00"/>
      <rgbColor rgb="FFFF9900"/>
      <rgbColor rgb="FFFF6600"/>
      <rgbColor rgb="FF666666"/>
      <rgbColor rgb="FF969696"/>
      <rgbColor rgb="FF003366"/>
      <rgbColor rgb="FF069A2E"/>
      <rgbColor rgb="FF006400"/>
      <rgbColor rgb="FF2E3030"/>
      <rgbColor rgb="FF663300"/>
      <rgbColor rgb="FF993366"/>
      <rgbColor rgb="FF3552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5</xdr:col>
      <xdr:colOff>443520</xdr:colOff>
      <xdr:row>1</xdr:row>
      <xdr:rowOff>91440</xdr:rowOff>
    </xdr:from>
    <xdr:to>
      <xdr:col>5</xdr:col>
      <xdr:colOff>1249200</xdr:colOff>
      <xdr:row>5</xdr:row>
      <xdr:rowOff>163440</xdr:rowOff>
    </xdr:to>
    <xdr:pic>
      <xdr:nvPicPr>
        <xdr:cNvPr id="0" name="Shape1_0" descr=""/>
        <xdr:cNvPicPr/>
      </xdr:nvPicPr>
      <xdr:blipFill>
        <a:blip r:embed="rId1"/>
        <a:stretch/>
      </xdr:blipFill>
      <xdr:spPr>
        <a:xfrm>
          <a:off x="4461120" y="281880"/>
          <a:ext cx="805680" cy="8341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O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4" activeCellId="0" sqref="E24"/>
    </sheetView>
  </sheetViews>
  <sheetFormatPr defaultColWidth="8.71484375" defaultRowHeight="15" zeroHeight="false" outlineLevelRow="0" outlineLevelCol="0"/>
  <cols>
    <col collapsed="false" customWidth="true" hidden="false" outlineLevel="0" max="2" min="2" style="1" width="20.14"/>
    <col collapsed="false" customWidth="true" hidden="false" outlineLevel="0" max="6" min="3" style="1" width="15.14"/>
    <col collapsed="false" customWidth="true" hidden="false" outlineLevel="0" max="9" min="9" style="1" width="11.71"/>
    <col collapsed="false" customWidth="true" hidden="false" outlineLevel="0" max="11" min="11" style="1" width="13.86"/>
  </cols>
  <sheetData>
    <row r="2" customFormat="false" ht="15" hidden="false" customHeight="false" outlineLevel="0" collapsed="false">
      <c r="A2" s="2" t="s">
        <v>0</v>
      </c>
    </row>
    <row r="4" customFormat="false" ht="15" hidden="false" customHeight="false" outlineLevel="0" collapsed="false">
      <c r="B4" s="3" t="s">
        <v>1</v>
      </c>
      <c r="C4" s="4" t="s">
        <v>2</v>
      </c>
    </row>
    <row r="5" customFormat="false" ht="15" hidden="false" customHeight="false" outlineLevel="0" collapsed="false">
      <c r="B5" s="3" t="s">
        <v>3</v>
      </c>
      <c r="C5" s="5" t="s">
        <v>4</v>
      </c>
    </row>
    <row r="6" customFormat="false" ht="15" hidden="false" customHeight="false" outlineLevel="0" collapsed="false">
      <c r="B6" s="3" t="s">
        <v>5</v>
      </c>
      <c r="C6" s="5" t="s">
        <v>6</v>
      </c>
    </row>
    <row r="7" customFormat="false" ht="15" hidden="false" customHeight="false" outlineLevel="0" collapsed="false">
      <c r="B7" s="3" t="s">
        <v>7</v>
      </c>
      <c r="C7" s="5" t="s">
        <v>8</v>
      </c>
    </row>
    <row r="8" customFormat="false" ht="15" hidden="false" customHeight="false" outlineLevel="0" collapsed="false">
      <c r="B8" s="3" t="s">
        <v>9</v>
      </c>
      <c r="C8" s="5" t="s">
        <v>10</v>
      </c>
    </row>
    <row r="10" customFormat="false" ht="15" hidden="false" customHeight="false" outlineLevel="0" collapsed="false">
      <c r="A10" s="2" t="s">
        <v>11</v>
      </c>
      <c r="I10" s="6" t="s">
        <v>12</v>
      </c>
    </row>
    <row r="11" customFormat="false" ht="15" hidden="false" customHeight="false" outlineLevel="0" collapsed="false">
      <c r="B11" s="3" t="s">
        <v>13</v>
      </c>
      <c r="C11" s="7" t="s">
        <v>14</v>
      </c>
      <c r="I11" s="8" t="n">
        <f aca="false">I12*8</f>
        <v>2400000</v>
      </c>
      <c r="J11" s="9" t="s">
        <v>15</v>
      </c>
      <c r="K11" s="10"/>
    </row>
    <row r="12" customFormat="false" ht="15" hidden="false" customHeight="false" outlineLevel="0" collapsed="false">
      <c r="B12" s="3" t="s">
        <v>16</v>
      </c>
      <c r="C12" s="11"/>
      <c r="I12" s="12" t="n">
        <v>300000</v>
      </c>
    </row>
    <row r="14" customFormat="false" ht="15" hidden="false" customHeight="false" outlineLevel="0" collapsed="false">
      <c r="B14" s="3" t="s">
        <v>17</v>
      </c>
      <c r="C14" s="13" t="s">
        <v>18</v>
      </c>
    </row>
    <row r="15" customFormat="false" ht="15" hidden="false" customHeight="false" outlineLevel="0" collapsed="false">
      <c r="B15" s="3" t="s">
        <v>19</v>
      </c>
      <c r="C15" s="13" t="s">
        <v>20</v>
      </c>
    </row>
    <row r="17" customFormat="false" ht="15" hidden="false" customHeight="false" outlineLevel="0" collapsed="false">
      <c r="A17" s="2" t="s">
        <v>21</v>
      </c>
      <c r="C17" s="14" t="s">
        <v>22</v>
      </c>
      <c r="D17" s="14" t="s">
        <v>23</v>
      </c>
      <c r="E17" s="14" t="s">
        <v>24</v>
      </c>
    </row>
    <row r="19" customFormat="false" ht="15" hidden="false" customHeight="false" outlineLevel="0" collapsed="false">
      <c r="A19" s="2" t="s">
        <v>25</v>
      </c>
    </row>
    <row r="20" customFormat="false" ht="15" hidden="false" customHeight="false" outlineLevel="0" collapsed="false">
      <c r="F20" s="15" t="s">
        <v>26</v>
      </c>
    </row>
    <row r="21" customFormat="false" ht="15" hidden="false" customHeight="false" outlineLevel="0" collapsed="false">
      <c r="B21" s="11" t="s">
        <v>27</v>
      </c>
      <c r="C21" s="16" t="n">
        <v>5</v>
      </c>
      <c r="D21" s="16" t="n">
        <v>5</v>
      </c>
      <c r="E21" s="16" t="n">
        <v>5</v>
      </c>
      <c r="F21" s="17"/>
    </row>
    <row r="22" customFormat="false" ht="15" hidden="false" customHeight="false" outlineLevel="0" collapsed="false">
      <c r="B22" s="11" t="s">
        <v>28</v>
      </c>
      <c r="C22" s="18"/>
      <c r="D22" s="19"/>
      <c r="E22" s="19"/>
      <c r="F22" s="19" t="n">
        <f aca="false">SUM('EMPLOYEUR checked'!C22:E22)</f>
        <v>0</v>
      </c>
    </row>
    <row r="23" customFormat="false" ht="15" hidden="false" customHeight="false" outlineLevel="0" collapsed="false">
      <c r="B23" s="11" t="s">
        <v>29</v>
      </c>
      <c r="C23" s="20"/>
      <c r="D23" s="20"/>
      <c r="E23" s="20"/>
      <c r="F23" s="20" t="n">
        <f aca="false">SUM('EMPLOYEUR checked'!C23:E23)</f>
        <v>0</v>
      </c>
      <c r="K23" s="21"/>
    </row>
    <row r="24" customFormat="false" ht="15" hidden="false" customHeight="false" outlineLevel="0" collapsed="false">
      <c r="B24" s="11" t="s">
        <v>30</v>
      </c>
      <c r="C24" s="20"/>
      <c r="D24" s="20"/>
      <c r="E24" s="20"/>
      <c r="F24" s="20" t="n">
        <f aca="false">SUM('EMPLOYEUR checked'!C24:E24)</f>
        <v>0</v>
      </c>
      <c r="H24" s="22"/>
      <c r="K24" s="21"/>
    </row>
    <row r="25" customFormat="false" ht="15" hidden="false" customHeight="false" outlineLevel="0" collapsed="false">
      <c r="C25" s="23"/>
      <c r="D25" s="23"/>
      <c r="E25" s="23"/>
      <c r="F25" s="24" t="n">
        <f aca="false">'EMPLOYEUR checked'!F24+'EMPLOYEUR checked'!F23</f>
        <v>0</v>
      </c>
      <c r="K25" s="21"/>
    </row>
    <row r="26" customFormat="false" ht="15" hidden="false" customHeight="false" outlineLevel="0" collapsed="false">
      <c r="C26" s="25"/>
      <c r="D26" s="25"/>
      <c r="E26" s="25"/>
      <c r="F26" s="26"/>
    </row>
    <row r="27" customFormat="false" ht="15" hidden="false" customHeight="false" outlineLevel="0" collapsed="false">
      <c r="D27" s="27"/>
      <c r="E27" s="27"/>
      <c r="F27" s="28"/>
      <c r="H27" s="29"/>
      <c r="I27" s="30"/>
      <c r="J27" s="1"/>
      <c r="L27" s="1"/>
      <c r="M27" s="1"/>
      <c r="N27" s="1"/>
      <c r="O27" s="1"/>
    </row>
    <row r="28" customFormat="false" ht="15" hidden="false" customHeight="false" outlineLevel="0" collapsed="false">
      <c r="C28" s="30"/>
      <c r="D28" s="31"/>
      <c r="E28" s="30"/>
      <c r="F28" s="32"/>
      <c r="H28" s="1"/>
      <c r="I28" s="30"/>
      <c r="J28" s="1"/>
      <c r="L28" s="1"/>
      <c r="M28" s="1"/>
      <c r="N28" s="1"/>
      <c r="O28" s="1"/>
    </row>
    <row r="29" customFormat="false" ht="15" hidden="false" customHeight="false" outlineLevel="0" collapsed="false">
      <c r="C29" s="33"/>
      <c r="D29" s="33"/>
      <c r="E29" s="33"/>
      <c r="H29" s="1"/>
      <c r="I29" s="34"/>
      <c r="J29" s="1"/>
      <c r="L29" s="1"/>
      <c r="M29" s="1"/>
      <c r="N29" s="1"/>
      <c r="O29" s="1"/>
    </row>
    <row r="30" customFormat="false" ht="15" hidden="false" customHeight="false" outlineLevel="0" collapsed="false">
      <c r="C30" s="30"/>
      <c r="D30" s="35"/>
      <c r="E30" s="36"/>
      <c r="F30" s="37"/>
      <c r="H30" s="1"/>
      <c r="I30" s="30"/>
      <c r="J30" s="1"/>
      <c r="L30" s="1"/>
      <c r="M30" s="1"/>
      <c r="N30" s="1"/>
      <c r="O30" s="1"/>
    </row>
    <row r="31" customFormat="false" ht="15" hidden="false" customHeight="false" outlineLevel="0" collapsed="false">
      <c r="C31" s="30"/>
      <c r="D31" s="38"/>
      <c r="E31" s="39"/>
      <c r="F31" s="26"/>
      <c r="I31" s="30"/>
    </row>
    <row r="32" customFormat="false" ht="15" hidden="false" customHeight="false" outlineLevel="0" collapsed="false">
      <c r="C32" s="30"/>
      <c r="D32" s="30"/>
      <c r="E32" s="36"/>
      <c r="F32" s="40"/>
      <c r="I32" s="30"/>
    </row>
    <row r="33" customFormat="false" ht="15" hidden="false" customHeight="false" outlineLevel="0" collapsed="false">
      <c r="C33" s="30"/>
      <c r="D33" s="30"/>
      <c r="E33" s="30"/>
      <c r="F33" s="37"/>
      <c r="I33" s="30"/>
    </row>
    <row r="34" customFormat="false" ht="15" hidden="false" customHeight="false" outlineLevel="0" collapsed="false">
      <c r="F34" s="21"/>
      <c r="I34" s="30"/>
    </row>
    <row r="35" customFormat="false" ht="15" hidden="false" customHeight="false" outlineLevel="0" collapsed="false">
      <c r="F35" s="21"/>
      <c r="I35" s="30"/>
    </row>
    <row r="36" customFormat="false" ht="15" hidden="false" customHeight="false" outlineLevel="0" collapsed="false">
      <c r="B36" s="41"/>
      <c r="C36" s="42"/>
      <c r="D36" s="42"/>
      <c r="E36" s="42"/>
      <c r="F36" s="43"/>
      <c r="G36" s="44"/>
    </row>
    <row r="37" customFormat="false" ht="15" hidden="false" customHeight="false" outlineLevel="0" collapsed="false">
      <c r="B37" s="42"/>
      <c r="C37" s="30"/>
      <c r="D37" s="45"/>
      <c r="E37" s="45"/>
      <c r="F37" s="46"/>
      <c r="G37" s="44"/>
    </row>
    <row r="38" customFormat="false" ht="15" hidden="false" customHeight="false" outlineLevel="0" collapsed="false">
      <c r="B38" s="47"/>
      <c r="C38" s="30"/>
      <c r="D38" s="27"/>
      <c r="E38" s="27"/>
      <c r="F38" s="28"/>
      <c r="G38" s="44"/>
    </row>
    <row r="39" customFormat="false" ht="15" hidden="false" customHeight="false" outlineLevel="0" collapsed="false">
      <c r="B39" s="47"/>
      <c r="C39" s="30"/>
      <c r="D39" s="30"/>
      <c r="E39" s="30"/>
      <c r="F39" s="48"/>
      <c r="G39" s="49"/>
    </row>
    <row r="40" customFormat="false" ht="15" hidden="false" customHeight="false" outlineLevel="0" collapsed="false">
      <c r="B40" s="47"/>
      <c r="C40" s="36"/>
      <c r="D40" s="23"/>
      <c r="E40" s="50"/>
      <c r="F40" s="51"/>
      <c r="G40" s="44"/>
    </row>
    <row r="41" customFormat="false" ht="15" hidden="false" customHeight="false" outlineLevel="0" collapsed="false">
      <c r="B41" s="47"/>
      <c r="C41" s="30"/>
      <c r="D41" s="35"/>
      <c r="E41" s="36"/>
      <c r="F41" s="37"/>
      <c r="G41" s="44"/>
    </row>
    <row r="42" customFormat="false" ht="15" hidden="false" customHeight="false" outlineLevel="0" collapsed="false">
      <c r="B42" s="42"/>
      <c r="C42" s="30"/>
      <c r="D42" s="38"/>
      <c r="E42" s="39"/>
      <c r="F42" s="26"/>
      <c r="G42" s="44"/>
    </row>
    <row r="43" customFormat="false" ht="15" hidden="false" customHeight="false" outlineLevel="0" collapsed="false">
      <c r="B43" s="44"/>
      <c r="C43" s="30"/>
      <c r="D43" s="30"/>
      <c r="E43" s="36"/>
      <c r="F43" s="40"/>
      <c r="G43" s="44"/>
    </row>
    <row r="44" customFormat="false" ht="15" hidden="false" customHeight="false" outlineLevel="0" collapsed="false">
      <c r="B44" s="44"/>
      <c r="C44" s="30"/>
      <c r="G44" s="49"/>
    </row>
    <row r="45" customFormat="false" ht="15" hidden="false" customHeight="false" outlineLevel="0" collapsed="false">
      <c r="B45" s="47"/>
      <c r="C45" s="52"/>
      <c r="D45" s="52"/>
      <c r="E45" s="52"/>
      <c r="F45" s="53"/>
      <c r="G45" s="44"/>
    </row>
    <row r="46" customFormat="false" ht="15" hidden="false" customHeight="false" outlineLevel="0" collapsed="false">
      <c r="B46" s="47"/>
      <c r="C46" s="54"/>
      <c r="D46" s="54"/>
      <c r="E46" s="54"/>
      <c r="F46" s="54"/>
      <c r="G46" s="55"/>
    </row>
    <row r="47" customFormat="false" ht="15" hidden="false" customHeight="false" outlineLevel="0" collapsed="false">
      <c r="B47" s="47"/>
      <c r="C47" s="54"/>
      <c r="D47" s="54"/>
      <c r="E47" s="54"/>
      <c r="F47" s="54"/>
      <c r="G47" s="55"/>
    </row>
    <row r="48" customFormat="false" ht="15" hidden="false" customHeight="false" outlineLevel="0" collapsed="false">
      <c r="B48" s="47"/>
      <c r="C48" s="54"/>
      <c r="D48" s="54"/>
      <c r="E48" s="54"/>
      <c r="F48" s="54"/>
      <c r="G48" s="55"/>
    </row>
    <row r="49" customFormat="false" ht="15" hidden="false" customHeight="false" outlineLevel="0" collapsed="false">
      <c r="B49" s="42"/>
      <c r="C49" s="42"/>
      <c r="D49" s="42"/>
      <c r="E49" s="42"/>
      <c r="F49" s="56"/>
      <c r="G49" s="57"/>
      <c r="I49" s="3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1048576"/>
  <sheetViews>
    <sheetView showFormulas="false" showGridLines="true" showRowColHeaders="true" showZeros="true" rightToLeft="false" tabSelected="true" showOutlineSymbols="true" defaultGridColor="true" view="normal" topLeftCell="A1" colorId="64" zoomScale="88" zoomScaleNormal="88" zoomScalePageLayoutView="100" workbookViewId="0">
      <selection pane="topLeft" activeCell="Q11" activeCellId="0" sqref="Q11"/>
    </sheetView>
  </sheetViews>
  <sheetFormatPr defaultColWidth="9.00390625" defaultRowHeight="15" zeroHeight="false" outlineLevelRow="0" outlineLevelCol="0"/>
  <cols>
    <col collapsed="false" customWidth="true" hidden="false" outlineLevel="0" max="2" min="1" style="1" width="4.14"/>
    <col collapsed="false" customWidth="true" hidden="false" outlineLevel="0" max="3" min="3" style="1" width="19.71"/>
    <col collapsed="false" customWidth="true" hidden="false" outlineLevel="0" max="4" min="4" style="1" width="21.71"/>
    <col collapsed="false" customWidth="true" hidden="false" outlineLevel="0" max="5" min="5" style="1" width="7.29"/>
    <col collapsed="false" customWidth="true" hidden="false" outlineLevel="0" max="6" min="6" style="1" width="18.86"/>
    <col collapsed="false" customWidth="true" hidden="false" outlineLevel="0" max="7" min="7" style="1" width="11.29"/>
    <col collapsed="false" customWidth="true" hidden="false" outlineLevel="0" max="8" min="8" style="1" width="13.29"/>
    <col collapsed="false" customWidth="true" hidden="false" outlineLevel="0" max="12" min="9" style="1" width="17.71"/>
    <col collapsed="false" customWidth="true" hidden="false" outlineLevel="0" max="15" min="13" style="1" width="13.29"/>
    <col collapsed="false" customWidth="true" hidden="false" outlineLevel="0" max="17" min="17" style="1" width="12.42"/>
    <col collapsed="false" customWidth="true" hidden="false" outlineLevel="0" max="19" min="18" style="1" width="11.29"/>
    <col collapsed="false" customWidth="true" hidden="false" outlineLevel="0" max="22" min="20" style="1" width="12.57"/>
  </cols>
  <sheetData>
    <row r="1" customFormat="false" ht="15" hidden="false" customHeight="false" outlineLevel="0" collapsed="false">
      <c r="M1" s="58"/>
      <c r="O1" s="59"/>
      <c r="Q1" s="21"/>
    </row>
    <row r="2" customFormat="false" ht="15" hidden="false" customHeight="false" outlineLevel="0" collapsed="false">
      <c r="C2" s="60" t="s">
        <v>31</v>
      </c>
      <c r="D2" s="60"/>
      <c r="J2" s="61" t="s">
        <v>32</v>
      </c>
      <c r="K2" s="62" t="s">
        <v>33</v>
      </c>
      <c r="L2" s="60" t="n">
        <v>2026</v>
      </c>
      <c r="M2" s="63"/>
      <c r="O2" s="59"/>
    </row>
    <row r="3" customFormat="false" ht="15" hidden="false" customHeight="false" outlineLevel="0" collapsed="false">
      <c r="C3" s="64"/>
      <c r="D3" s="64"/>
      <c r="G3" s="65"/>
      <c r="O3" s="59"/>
      <c r="Q3" s="21"/>
    </row>
    <row r="4" customFormat="false" ht="15" hidden="false" customHeight="false" outlineLevel="0" collapsed="false">
      <c r="C4" s="64" t="s">
        <v>34</v>
      </c>
      <c r="D4" s="64"/>
      <c r="G4" s="65"/>
      <c r="K4" s="66" t="s">
        <v>35</v>
      </c>
      <c r="O4" s="59"/>
      <c r="Q4" s="21"/>
    </row>
    <row r="5" customFormat="false" ht="15" hidden="false" customHeight="false" outlineLevel="0" collapsed="false">
      <c r="C5" s="67" t="s">
        <v>36</v>
      </c>
      <c r="D5" s="67"/>
      <c r="K5" s="67" t="s">
        <v>37</v>
      </c>
      <c r="Q5" s="21"/>
    </row>
    <row r="6" customFormat="false" ht="15" hidden="false" customHeight="false" outlineLevel="0" collapsed="false">
      <c r="C6" s="67" t="s">
        <v>38</v>
      </c>
      <c r="D6" s="67"/>
      <c r="G6" s="68"/>
      <c r="K6" s="67" t="s">
        <v>39</v>
      </c>
      <c r="N6" s="69"/>
      <c r="O6" s="69"/>
      <c r="Q6" s="21"/>
    </row>
    <row r="7" customFormat="false" ht="15" hidden="false" customHeight="false" outlineLevel="0" collapsed="false">
      <c r="C7" s="67" t="s">
        <v>40</v>
      </c>
      <c r="D7" s="67"/>
      <c r="G7" s="68"/>
      <c r="K7" s="66" t="s">
        <v>41</v>
      </c>
      <c r="M7" s="69"/>
      <c r="N7" s="70"/>
      <c r="O7" s="71" t="n">
        <v>2400000</v>
      </c>
      <c r="P7" s="64"/>
      <c r="Q7" s="21"/>
    </row>
    <row r="8" customFormat="false" ht="15" hidden="false" customHeight="false" outlineLevel="0" collapsed="false">
      <c r="C8" s="72" t="s">
        <v>42</v>
      </c>
      <c r="D8" s="73" t="n">
        <v>1768</v>
      </c>
      <c r="M8" s="69"/>
      <c r="N8" s="74"/>
      <c r="O8" s="10"/>
      <c r="P8" s="64"/>
      <c r="Q8" s="21"/>
    </row>
    <row r="9" customFormat="false" ht="15" hidden="false" customHeight="false" outlineLevel="0" collapsed="false">
      <c r="G9" s="75" t="s">
        <v>43</v>
      </c>
      <c r="H9" s="75"/>
      <c r="I9" s="59" t="s">
        <v>44</v>
      </c>
      <c r="J9" s="59" t="s">
        <v>23</v>
      </c>
      <c r="K9" s="59" t="s">
        <v>24</v>
      </c>
      <c r="M9" s="76" t="n">
        <v>0.055</v>
      </c>
      <c r="N9" s="76" t="n">
        <v>0.015</v>
      </c>
    </row>
    <row r="10" customFormat="false" ht="41.25" hidden="false" customHeight="true" outlineLevel="0" collapsed="false">
      <c r="B10" s="59" t="s">
        <v>45</v>
      </c>
      <c r="C10" s="77" t="s">
        <v>46</v>
      </c>
      <c r="D10" s="77" t="s">
        <v>47</v>
      </c>
      <c r="E10" s="77" t="s">
        <v>48</v>
      </c>
      <c r="F10" s="77" t="s">
        <v>49</v>
      </c>
      <c r="G10" s="78" t="s">
        <v>50</v>
      </c>
      <c r="H10" s="78" t="s">
        <v>51</v>
      </c>
      <c r="I10" s="78" t="s">
        <v>52</v>
      </c>
      <c r="J10" s="78" t="s">
        <v>32</v>
      </c>
      <c r="K10" s="78" t="s">
        <v>53</v>
      </c>
      <c r="L10" s="78" t="s">
        <v>54</v>
      </c>
      <c r="M10" s="78" t="s">
        <v>55</v>
      </c>
      <c r="N10" s="78" t="s">
        <v>56</v>
      </c>
      <c r="O10" s="77" t="s">
        <v>57</v>
      </c>
      <c r="Q10" s="59"/>
      <c r="R10" s="59"/>
      <c r="S10" s="59"/>
    </row>
    <row r="11" customFormat="false" ht="25.5" hidden="false" customHeight="true" outlineLevel="0" collapsed="false">
      <c r="A11" s="79"/>
      <c r="B11" s="59" t="n">
        <v>1</v>
      </c>
      <c r="C11" s="80"/>
      <c r="D11" s="80"/>
      <c r="E11" s="81"/>
      <c r="F11" s="82"/>
      <c r="G11" s="83"/>
      <c r="H11" s="84"/>
      <c r="I11" s="85"/>
      <c r="J11" s="85"/>
      <c r="K11" s="85"/>
      <c r="L11" s="86"/>
      <c r="M11" s="87"/>
      <c r="N11" s="87"/>
      <c r="O11" s="87"/>
      <c r="P11" s="10"/>
      <c r="Q11" s="88"/>
      <c r="R11" s="89"/>
      <c r="S11" s="89"/>
      <c r="T11" s="89"/>
      <c r="U11" s="89"/>
      <c r="V11" s="89"/>
      <c r="W11" s="89"/>
    </row>
    <row r="12" customFormat="false" ht="25.5" hidden="false" customHeight="true" outlineLevel="0" collapsed="false">
      <c r="A12" s="79"/>
      <c r="B12" s="59" t="n">
        <v>2</v>
      </c>
      <c r="C12" s="90"/>
      <c r="D12" s="90"/>
      <c r="E12" s="81"/>
      <c r="F12" s="82"/>
      <c r="G12" s="83"/>
      <c r="H12" s="84"/>
      <c r="I12" s="85"/>
      <c r="J12" s="85"/>
      <c r="K12" s="85"/>
      <c r="L12" s="86"/>
      <c r="M12" s="87"/>
      <c r="N12" s="87"/>
      <c r="O12" s="87"/>
      <c r="P12" s="10"/>
      <c r="Q12" s="88"/>
      <c r="R12" s="89"/>
      <c r="S12" s="89"/>
      <c r="T12" s="89"/>
      <c r="U12" s="89"/>
      <c r="V12" s="89"/>
      <c r="W12" s="89"/>
    </row>
    <row r="13" customFormat="false" ht="25.5" hidden="false" customHeight="true" outlineLevel="0" collapsed="false">
      <c r="A13" s="79"/>
      <c r="B13" s="59" t="n">
        <v>3</v>
      </c>
      <c r="C13" s="90"/>
      <c r="D13" s="90"/>
      <c r="E13" s="81"/>
      <c r="F13" s="82"/>
      <c r="G13" s="83"/>
      <c r="H13" s="91"/>
      <c r="I13" s="85"/>
      <c r="J13" s="85"/>
      <c r="K13" s="85"/>
      <c r="L13" s="86"/>
      <c r="M13" s="87"/>
      <c r="N13" s="87"/>
      <c r="O13" s="87"/>
      <c r="P13" s="92"/>
      <c r="Q13" s="88"/>
      <c r="R13" s="89"/>
      <c r="S13" s="89"/>
      <c r="T13" s="89"/>
      <c r="U13" s="89"/>
      <c r="V13" s="89"/>
      <c r="W13" s="89"/>
    </row>
    <row r="14" customFormat="false" ht="25.5" hidden="false" customHeight="true" outlineLevel="0" collapsed="false">
      <c r="A14" s="79"/>
      <c r="B14" s="59" t="n">
        <v>4</v>
      </c>
      <c r="C14" s="93"/>
      <c r="D14" s="94"/>
      <c r="E14" s="81"/>
      <c r="F14" s="95"/>
      <c r="G14" s="83"/>
      <c r="H14" s="91"/>
      <c r="I14" s="96"/>
      <c r="J14" s="85"/>
      <c r="K14" s="85"/>
      <c r="L14" s="86"/>
      <c r="M14" s="87"/>
      <c r="N14" s="87"/>
      <c r="O14" s="87"/>
      <c r="P14" s="92"/>
      <c r="Q14" s="88"/>
      <c r="R14" s="89"/>
      <c r="S14" s="89"/>
      <c r="T14" s="89"/>
      <c r="U14" s="89"/>
      <c r="V14" s="89"/>
      <c r="W14" s="89"/>
    </row>
    <row r="15" customFormat="false" ht="25.5" hidden="false" customHeight="true" outlineLevel="0" collapsed="false">
      <c r="A15" s="79"/>
      <c r="B15" s="59" t="n">
        <v>5</v>
      </c>
      <c r="C15" s="93"/>
      <c r="D15" s="94"/>
      <c r="E15" s="81"/>
      <c r="F15" s="97"/>
      <c r="G15" s="83"/>
      <c r="H15" s="91"/>
      <c r="I15" s="96"/>
      <c r="J15" s="85"/>
      <c r="K15" s="85"/>
      <c r="L15" s="86"/>
      <c r="M15" s="87"/>
      <c r="N15" s="87"/>
      <c r="O15" s="87"/>
      <c r="P15" s="92"/>
      <c r="Q15" s="88"/>
      <c r="R15" s="89"/>
      <c r="S15" s="89"/>
      <c r="T15" s="89"/>
      <c r="U15" s="89"/>
      <c r="V15" s="89"/>
      <c r="W15" s="89"/>
    </row>
    <row r="16" customFormat="false" ht="20.25" hidden="false" customHeight="true" outlineLevel="0" collapsed="false">
      <c r="E16" s="67"/>
      <c r="I16" s="98" t="n">
        <f aca="false">SUM(I11:I15)</f>
        <v>0</v>
      </c>
      <c r="J16" s="98" t="n">
        <f aca="false">SUM(J11:J15)</f>
        <v>0</v>
      </c>
      <c r="K16" s="98" t="n">
        <f aca="false">SUM(K11:K15)</f>
        <v>0</v>
      </c>
      <c r="L16" s="98" t="n">
        <f aca="false">SUM(L11:L15)</f>
        <v>0</v>
      </c>
      <c r="M16" s="99" t="n">
        <f aca="false">SUM(M11:M15)</f>
        <v>0</v>
      </c>
      <c r="N16" s="100" t="n">
        <f aca="false">SUM(N11:N15)</f>
        <v>0</v>
      </c>
      <c r="O16" s="101" t="n">
        <f aca="false">SUM(O11:O15)</f>
        <v>0</v>
      </c>
      <c r="Q16" s="98"/>
      <c r="R16" s="98"/>
      <c r="S16" s="98"/>
      <c r="T16" s="98"/>
      <c r="U16" s="102"/>
      <c r="V16" s="102"/>
      <c r="W16" s="89"/>
    </row>
    <row r="17" customFormat="false" ht="15" hidden="false" customHeight="false" outlineLevel="0" collapsed="false">
      <c r="C17" s="64"/>
      <c r="D17" s="64"/>
      <c r="I17" s="10"/>
      <c r="J17" s="10"/>
      <c r="K17" s="10"/>
      <c r="O17" s="10"/>
      <c r="Q17" s="21"/>
      <c r="S17" s="21"/>
      <c r="T17" s="89"/>
      <c r="U17" s="89"/>
      <c r="V17" s="89"/>
      <c r="W17" s="89"/>
    </row>
    <row r="18" customFormat="false" ht="15" hidden="false" customHeight="false" outlineLevel="0" collapsed="false">
      <c r="C18" s="64"/>
      <c r="D18" s="64"/>
      <c r="O18" s="10"/>
      <c r="Q18" s="21"/>
      <c r="S18" s="21"/>
      <c r="T18" s="89"/>
      <c r="U18" s="89"/>
      <c r="V18" s="89"/>
      <c r="W18" s="89"/>
    </row>
    <row r="19" customFormat="false" ht="15" hidden="false" customHeight="false" outlineLevel="0" collapsed="false">
      <c r="Q19" s="21"/>
    </row>
    <row r="20" customFormat="false" ht="15" hidden="false" customHeight="false" outlineLevel="0" collapsed="false">
      <c r="C20" s="64" t="s">
        <v>58</v>
      </c>
      <c r="D20" s="103"/>
      <c r="G20" s="104"/>
      <c r="H20" s="104"/>
      <c r="I20" s="104" t="s">
        <v>59</v>
      </c>
      <c r="J20" s="104" t="s">
        <v>60</v>
      </c>
      <c r="K20" s="105" t="n">
        <f aca="false">M16</f>
        <v>0</v>
      </c>
      <c r="L20" s="76" t="n">
        <v>0.055</v>
      </c>
      <c r="M20" s="106"/>
    </row>
    <row r="21" customFormat="false" ht="15" hidden="false" customHeight="false" outlineLevel="0" collapsed="false">
      <c r="C21" s="104"/>
      <c r="D21" s="104"/>
      <c r="E21" s="104"/>
      <c r="F21" s="104"/>
      <c r="G21" s="104"/>
      <c r="H21" s="104"/>
      <c r="I21" s="104"/>
      <c r="J21" s="104" t="s">
        <v>61</v>
      </c>
      <c r="K21" s="105" t="n">
        <f aca="false">N16</f>
        <v>0</v>
      </c>
      <c r="L21" s="76" t="n">
        <v>0.015</v>
      </c>
      <c r="M21" s="106" t="e">
        <f aca="false">NA()</f>
        <v>#N/A</v>
      </c>
      <c r="O21" s="10"/>
    </row>
    <row r="22" customFormat="false" ht="15" hidden="false" customHeight="false" outlineLevel="0" collapsed="false">
      <c r="C22" s="104"/>
      <c r="D22" s="104"/>
      <c r="E22" s="104"/>
      <c r="F22" s="104"/>
      <c r="G22" s="104"/>
      <c r="H22" s="104"/>
      <c r="I22" s="104"/>
      <c r="J22" s="107" t="s">
        <v>62</v>
      </c>
      <c r="K22" s="108" t="n">
        <f aca="false">K21+K20</f>
        <v>0</v>
      </c>
      <c r="L22" s="104"/>
      <c r="M22" s="106"/>
      <c r="O22" s="10"/>
    </row>
    <row r="23" customFormat="false" ht="15" hidden="false" customHeight="false" outlineLevel="0" collapsed="false">
      <c r="U23" s="109"/>
    </row>
    <row r="24" customFormat="false" ht="15" hidden="false" customHeight="false" outlineLevel="0" collapsed="false">
      <c r="U24" s="109"/>
    </row>
    <row r="25" customFormat="false" ht="15" hidden="false" customHeight="false" outlineLevel="0" collapsed="false">
      <c r="U25" s="109"/>
    </row>
    <row r="26" customFormat="false" ht="15" hidden="false" customHeight="false" outlineLevel="0" collapsed="false">
      <c r="U26" s="109"/>
    </row>
    <row r="27" customFormat="false" ht="15" hidden="false" customHeight="false" outlineLevel="0" collapsed="false">
      <c r="U27" s="109"/>
    </row>
    <row r="28" customFormat="false" ht="15" hidden="false" customHeight="false" outlineLevel="0" collapsed="false">
      <c r="U28" s="109"/>
    </row>
    <row r="29" customFormat="false" ht="15" hidden="false" customHeight="false" outlineLevel="0" collapsed="false">
      <c r="U29" s="109"/>
    </row>
    <row r="30" customFormat="false" ht="15" hidden="false" customHeight="false" outlineLevel="0" collapsed="false">
      <c r="U30" s="109"/>
    </row>
    <row r="31" customFormat="false" ht="15" hidden="false" customHeight="false" outlineLevel="0" collapsed="false">
      <c r="U31" s="109"/>
    </row>
    <row r="32" customFormat="false" ht="15" hidden="false" customHeight="false" outlineLevel="0" collapsed="false">
      <c r="U32" s="109"/>
    </row>
    <row r="33" customFormat="false" ht="15" hidden="false" customHeight="false" outlineLevel="0" collapsed="false">
      <c r="U33" s="109"/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G9:H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992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2024-01-24T09:39:04Z</dcterms:created>
  <dc:creator>Tatamo</dc:creator>
  <dc:description/>
  <dc:language>en-US</dc:language>
  <cp:lastModifiedBy/>
  <cp:lastPrinted>2026-07-28T14:57:04Z</cp:lastPrinted>
  <dcterms:modified xsi:type="dcterms:W3CDTF">2026-09-26T20:36:51Z</dcterms:modified>
  <cp:revision>160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