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589245230a45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rand livre" sheetId="1" r:id="Rb47c7ab2430248a0"/>
    <x:sheet xmlns:r="http://schemas.openxmlformats.org/officeDocument/2006/relationships" name="Détail rubriques" sheetId="2" r:id="R3f794b1a171249b3"/>
    <x:sheet xmlns:r="http://schemas.openxmlformats.org/officeDocument/2006/relationships" name="Contrôle" sheetId="3" r:id="Rb437ea813fa34f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 &quot;Ar&quot;"/>
    <x:numFmt numFmtId="201" formatCode="0.00"/>
    <x:numFmt numFmtId="202" formatCode="0.00%"/>
  </x:numFmts>
  <x:fonts count="8">
    <x:font>
      <x:sz val="11"/>
      <x:name val="Carlito"/>
    </x:font>
    <x:font>
      <x:b/>
      <x:sz val="15"/>
      <x:color rgb="FFFFFFFF"/>
      <x:name val="Carlito"/>
    </x:font>
    <x:font>
      <x:i/>
      <x:sz val="9"/>
      <x:color rgb="FF31443A"/>
      <x:name val="Carlito"/>
    </x:font>
    <x:font>
      <x:b/>
      <x:sz val="11"/>
      <x:color rgb="FFFFFFFF"/>
      <x:name val="Carlito"/>
    </x:font>
    <x:font>
      <x:b/>
      <x:sz val="9"/>
      <x:color rgb="FFFFFFFF"/>
      <x:name val="Carlito"/>
    </x:font>
    <x:font>
      <x:b/>
      <x:sz val="8"/>
      <x:color rgb="FFFFFFFF"/>
      <x:name val="Carlito"/>
    </x:font>
    <x:font>
      <x:b/>
      <x:sz val="11"/>
      <x:color rgb="FF31443A"/>
      <x:name val="Carlito"/>
    </x:font>
    <x:font>
      <x:b/>
      <x:sz val="14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31443A"/>
      </x:patternFill>
    </x:fill>
    <x:fill>
      <x:patternFill patternType="solid">
        <x:fgColor rgb="FFEEF3EF"/>
      </x:patternFill>
    </x:fill>
    <x:fill>
      <x:patternFill patternType="solid">
        <x:fgColor rgb="FF6F8A74"/>
      </x:patternFill>
    </x:fill>
    <x:fill>
      <x:patternFill patternType="solid">
        <x:fgColor rgb="FF8AA08E"/>
      </x:patternFill>
    </x:fill>
    <x:fill>
      <x:patternFill patternType="solid">
        <x:fgColor rgb="FFE8DFC9"/>
      </x:patternFill>
    </x:fill>
  </x:fills>
  <x:borders count="24">
    <x:border/>
    <x:border/>
    <x:border>
      <x:left style="thin">
        <x:color rgb="FFC4CEC6"/>
      </x:left>
      <x:top style="thin">
        <x:color rgb="FFC4CEC6"/>
      </x:top>
    </x:border>
    <x:border>
      <x:top style="thin">
        <x:color rgb="FFC4CEC6"/>
      </x:top>
    </x:border>
    <x:border>
      <x:right style="thin">
        <x:color rgb="FFC4CEC6"/>
      </x:right>
      <x:top style="thin">
        <x:color rgb="FFC4CEC6"/>
      </x:top>
    </x:border>
    <x:border>
      <x:left style="thin">
        <x:color rgb="FFC4CEC6"/>
      </x:left>
      <x:bottom style="thin">
        <x:color rgb="FFC4CEC6"/>
      </x:bottom>
    </x:border>
    <x:border>
      <x:bottom style="thin">
        <x:color rgb="FFC4CEC6"/>
      </x:bottom>
    </x:border>
    <x:border>
      <x:right style="thin">
        <x:color rgb="FFC4CEC6"/>
      </x:right>
      <x:bottom style="thin">
        <x:color rgb="FFC4CEC6"/>
      </x:bottom>
    </x:border>
    <x:border>
      <x:left style="thin">
        <x:color rgb="FFC4CEC6"/>
      </x:left>
      <x:top style="thin">
        <x:color rgb="FFC4CEC6"/>
      </x:top>
    </x:border>
    <x:border>
      <x:top style="thin">
        <x:color rgb="FFC4CEC6"/>
      </x:top>
    </x:border>
    <x:border>
      <x:right style="thin">
        <x:color rgb="FFC4CEC6"/>
      </x:right>
      <x:top style="thin">
        <x:color rgb="FFC4CEC6"/>
      </x:top>
    </x:border>
    <x:border>
      <x:left style="thin">
        <x:color rgb="FFC4CEC6"/>
      </x:left>
      <x:bottom style="thin">
        <x:color rgb="FFC4CEC6"/>
      </x:bottom>
    </x:border>
    <x:border>
      <x:bottom style="thin">
        <x:color rgb="FFC4CEC6"/>
      </x:bottom>
    </x:border>
    <x:border>
      <x:right style="thin">
        <x:color rgb="FFC4CEC6"/>
      </x:right>
      <x:bottom style="thin">
        <x:color rgb="FFC4CEC6"/>
      </x:bottom>
    </x:border>
    <x:border>
      <x:left style="thin">
        <x:color rgb="FFC4CEC6"/>
      </x:left>
      <x:top style="thin">
        <x:color rgb="FFC4CEC6"/>
      </x:top>
      <x:bottom style="thin">
        <x:color rgb="FFC4CEC6"/>
      </x:bottom>
    </x:border>
    <x:border>
      <x:top style="thin">
        <x:color rgb="FFC4CEC6"/>
      </x:top>
      <x:bottom style="thin">
        <x:color rgb="FFC4CEC6"/>
      </x:bottom>
    </x:border>
    <x:border>
      <x:right style="thin">
        <x:color rgb="FFC4CEC6"/>
      </x:right>
      <x:top style="thin">
        <x:color rgb="FFC4CEC6"/>
      </x:top>
      <x:bottom style="thin">
        <x:color rgb="FFC4CEC6"/>
      </x:bottom>
    </x:border>
    <x:border>
      <x:left style="thin">
        <x:color rgb="FFC4CEC6"/>
      </x:left>
      <x:top style="thin">
        <x:color rgb="FFC4CEC6"/>
      </x:top>
      <x:bottom style="thin">
        <x:color rgb="FFC4CEC6"/>
      </x:bottom>
    </x:border>
    <x:border>
      <x:top style="thin">
        <x:color rgb="FFC4CEC6"/>
      </x:top>
      <x:bottom style="thin">
        <x:color rgb="FFC4CEC6"/>
      </x:bottom>
    </x:border>
    <x:border>
      <x:right style="thin">
        <x:color rgb="FFC4CEC6"/>
      </x:right>
      <x:top style="thin">
        <x:color rgb="FFC4CEC6"/>
      </x:top>
      <x:bottom style="thin">
        <x:color rgb="FFC4CEC6"/>
      </x:bottom>
    </x:border>
    <x:border>
      <x:left style="thin">
        <x:color rgb="FFC4CEC6"/>
      </x:left>
    </x:border>
    <x:border>
      <x:right style="thin">
        <x:color rgb="FFC4CEC6"/>
      </x:right>
    </x:border>
    <x:border>
      <x:left style="thin">
        <x:color rgb="FFC4CEC6"/>
      </x:left>
    </x:border>
    <x:border>
      <x:right style="thin">
        <x:color rgb="FFC4CEC6"/>
      </x:right>
    </x:border>
  </x:borders>
  <x:cellStyleXfs count="1">
    <x:xf numFmtId="0" fontId="0" fillId="0" borderId="0"/>
  </x:cellStyleXfs>
  <x:cellXfs count="1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3" fillId="4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3" fillId="4" borderId="8" xfId="0" applyNumberFormat="1" applyFont="1" applyFill="1" applyBorder="1" applyAlignment="1">
      <x:alignment horizontal="center" vertical="center"/>
    </x:xf>
    <x:xf numFmtId="0" fontId="3" fillId="4" borderId="9" xfId="0" applyNumberFormat="1" applyFont="1" applyFill="1" applyBorder="1" applyAlignment="1">
      <x:alignment horizontal="center" vertical="center"/>
    </x:xf>
    <x:xf numFmtId="0" fontId="3" fillId="4" borderId="10" xfId="0" applyNumberFormat="1" applyFont="1" applyFill="1" applyBorder="1" applyAlignment="1">
      <x:alignment horizontal="center" vertical="center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right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horizontal="right"/>
    </x:xf>
    <x:xf numFmtId="0" fontId="6" fillId="6" borderId="14" xfId="0" applyNumberFormat="1" applyFont="1" applyFill="1" applyBorder="1" applyAlignment="1">
      <x:alignment horizontal="right"/>
    </x:xf>
    <x:xf numFmtId="0" fontId="6" fillId="6" borderId="15" xfId="0" applyNumberFormat="1" applyFont="1" applyFill="1" applyBorder="1" applyAlignment="1">
      <x:alignment horizontal="right"/>
    </x:xf>
    <x:xf numFmtId="0" fontId="6" fillId="6" borderId="15" xfId="0" applyNumberFormat="1" applyFont="1" applyFill="1" applyBorder="1"/>
    <x:xf numFmtId="0" fontId="6" fillId="6" borderId="16" xfId="0" applyNumberFormat="1" applyFont="1" applyFill="1" applyBorder="1"/>
    <x:xf numFmtId="0" fontId="6" fillId="6" borderId="17" xfId="0" applyNumberFormat="1" applyFont="1" applyFill="1" applyBorder="1" applyAlignment="1">
      <x:alignment horizontal="right"/>
    </x:xf>
    <x:xf numFmtId="0" fontId="6" fillId="6" borderId="18" xfId="0" applyNumberFormat="1" applyFont="1" applyFill="1" applyBorder="1" applyAlignment="1">
      <x:alignment horizontal="right"/>
    </x:xf>
    <x:xf numFmtId="0" fontId="6" fillId="6" borderId="18" xfId="0" applyNumberFormat="1" applyFont="1" applyFill="1" applyBorder="1"/>
    <x:xf numFmtId="0" fontId="6" fillId="6" borderId="19" xfId="0" applyNumberFormat="1" applyFont="1" applyFill="1" applyBorder="1"/>
    <x:xf numFmtId="0" fontId="5" fillId="2" borderId="2" xfId="0" applyNumberFormat="1" applyFont="1" applyFill="1" applyBorder="1" applyAlignment="1">
      <x:alignment horizontal="center" vertical="center" wrapText="1"/>
    </x:xf>
    <x:xf numFmtId="0" fontId="5" fillId="2" borderId="3" xfId="0" applyNumberFormat="1" applyFont="1" applyFill="1" applyBorder="1" applyAlignment="1">
      <x:alignment horizontal="center" vertical="center" wrapText="1"/>
    </x:xf>
    <x:xf numFmtId="0" fontId="5" fillId="2" borderId="4" xfId="0" applyNumberFormat="1" applyFont="1" applyFill="1" applyBorder="1" applyAlignment="1">
      <x:alignment horizontal="center" vertical="center" wrapText="1"/>
    </x:xf>
    <x:xf numFmtId="0" fontId="0" fillId="0" borderId="20" xfId="0" applyNumberFormat="1" applyFont="1" applyFill="1" applyBorder="1"/>
    <x:xf numFmtId="0" fontId="0" fillId="0" borderId="0" xfId="0" applyNumberFormat="1" applyFont="1" applyFill="1" applyBorder="1"/>
    <x:xf numFmtId="0" fontId="0" fillId="0" borderId="21" xfId="0" applyNumberFormat="1" applyFont="1" applyFill="1" applyBorder="1"/>
    <x:xf numFmtId="0" fontId="5" fillId="2" borderId="8" xfId="0" applyNumberFormat="1" applyFont="1" applyFill="1" applyBorder="1" applyAlignment="1">
      <x:alignment horizontal="center" vertical="center" wrapText="1"/>
    </x:xf>
    <x:xf numFmtId="0" fontId="5" fillId="2" borderId="9" xfId="0" applyNumberFormat="1" applyFont="1" applyFill="1" applyBorder="1" applyAlignment="1">
      <x:alignment horizontal="center" vertical="center" wrapText="1"/>
    </x:xf>
    <x:xf numFmtId="0" fontId="5" fillId="2" borderId="10" xfId="0" applyNumberFormat="1" applyFont="1" applyFill="1" applyBorder="1" applyAlignment="1">
      <x:alignment horizontal="center" vertical="center" wrapText="1"/>
    </x:xf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21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200" fontId="0" fillId="0" borderId="7" xfId="0" applyNumberFormat="1" applyFont="1" applyFill="1" applyBorder="1" applyAlignment="1">
      <x:alignment wrapText="1"/>
    </x:xf>
    <x:xf numFmtId="200" fontId="6" fillId="6" borderId="15" xfId="0" applyNumberFormat="1" applyFont="1" applyFill="1" applyBorder="1"/>
    <x:xf numFmtId="200" fontId="6" fillId="6" borderId="16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23" xfId="0" applyNumberFormat="1" applyFont="1" applyFill="1" applyBorder="1" applyAlignment="1">
      <x:alignment wrapText="1"/>
    </x:xf>
    <x:xf numFmtId="200" fontId="0" fillId="0" borderId="12" xfId="0" applyNumberFormat="1" applyFont="1" applyFill="1" applyBorder="1" applyAlignment="1">
      <x:alignment wrapText="1"/>
    </x:xf>
    <x:xf numFmtId="200" fontId="0" fillId="0" borderId="13" xfId="0" applyNumberFormat="1" applyFont="1" applyFill="1" applyBorder="1" applyAlignment="1">
      <x:alignment wrapText="1"/>
    </x:xf>
    <x:xf numFmtId="200" fontId="6" fillId="6" borderId="18" xfId="0" applyNumberFormat="1" applyFont="1" applyFill="1" applyBorder="1"/>
    <x:xf numFmtId="200" fontId="6" fillId="6" borderId="19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6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1" fontId="0" fillId="0" borderId="12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200" fontId="0" fillId="0" borderId="21" xfId="0" applyNumberFormat="1" applyFont="1" applyFill="1" applyBorder="1"/>
    <x:xf numFmtId="200" fontId="0" fillId="0" borderId="6" xfId="0" applyNumberFormat="1" applyFont="1" applyFill="1" applyBorder="1"/>
    <x:xf numFmtId="202" fontId="0" fillId="0" borderId="6" xfId="0" applyNumberFormat="1" applyFont="1" applyFill="1" applyBorder="1"/>
    <x:xf numFmtId="200" fontId="0" fillId="0" borderId="7" xfId="0" applyNumberFormat="1" applyFont="1" applyFill="1" applyBorder="1"/>
    <x:xf numFmtId="0" fontId="3" fillId="4" borderId="8" xfId="0" applyNumberFormat="1" applyFont="1" applyFill="1" applyBorder="1" applyAlignment="1">
      <x:alignment horizontal="center" vertical="center" wrapText="1"/>
    </x:xf>
    <x:xf numFmtId="0" fontId="3" fillId="4" borderId="9" xfId="0" applyNumberFormat="1" applyFont="1" applyFill="1" applyBorder="1" applyAlignment="1">
      <x:alignment horizontal="center" vertical="center" wrapText="1"/>
    </x:xf>
    <x:xf numFmtId="0" fontId="3" fillId="4" borderId="10" xfId="0" applyNumberFormat="1" applyFont="1" applyFill="1" applyBorder="1" applyAlignment="1">
      <x:alignment horizontal="center" vertical="center" wrapText="1"/>
    </x:xf>
    <x:xf numFmtId="200" fontId="0" fillId="0" borderId="23" xfId="0" applyNumberFormat="1" applyFont="1" applyFill="1" applyBorder="1"/>
    <x:xf numFmtId="200" fontId="0" fillId="0" borderId="12" xfId="0" applyNumberFormat="1" applyFont="1" applyFill="1" applyBorder="1"/>
    <x:xf numFmtId="202" fontId="0" fillId="0" borderId="12" xfId="0" applyNumberFormat="1" applyFont="1" applyFill="1" applyBorder="1"/>
    <x:xf numFmtId="200" fontId="0" fillId="0" borderId="13" xfId="0" applyNumberFormat="1" applyFont="1" applyFill="1" applyBorder="1"/>
    <x:xf numFmtId="0" fontId="3" fillId="4" borderId="2" xfId="0" applyNumberFormat="1" applyFont="1" applyFill="1" applyBorder="1" applyAlignment="1">
      <x:alignment horizontal="center"/>
    </x:xf>
    <x:xf numFmtId="0" fontId="3" fillId="4" borderId="4" xfId="0" applyNumberFormat="1" applyFont="1" applyFill="1" applyBorder="1" applyAlignment="1">
      <x:alignment horizontal="center"/>
    </x:xf>
    <x:xf numFmtId="0" fontId="3" fillId="4" borderId="8" xfId="0" applyNumberFormat="1" applyFont="1" applyFill="1" applyBorder="1" applyAlignment="1">
      <x:alignment horizontal="center"/>
    </x:xf>
    <x:xf numFmtId="0" fontId="3" fillId="4" borderId="1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d3049e86414d8f" /><Relationship Type="http://schemas.openxmlformats.org/officeDocument/2006/relationships/theme" Target="/xl/theme/theme1.xml" Id="R04f09c8c38ba43ba" /><Relationship Type="http://schemas.openxmlformats.org/officeDocument/2006/relationships/sharedStrings" Target="/xl/sharedStrings.xml" Id="R6e5644da653b40de" /><Relationship Type="http://schemas.openxmlformats.org/officeDocument/2006/relationships/worksheet" Target="/xl/worksheets/sheet1.xml" Id="Rb47c7ab2430248a0" /><Relationship Type="http://schemas.openxmlformats.org/officeDocument/2006/relationships/worksheet" Target="/xl/worksheets/sheet2.xml" Id="R3f794b1a171249b3" /><Relationship Type="http://schemas.openxmlformats.org/officeDocument/2006/relationships/worksheet" Target="/xl/worksheets/sheet3.xml" Id="Rb437ea813fa34f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13" hidden="0" customWidth="1"/>
    <x:col min="4" max="4" width="10" hidden="0" customWidth="1"/>
    <x:col min="5" max="5" width="18" hidden="0" customWidth="1"/>
    <x:col min="6" max="6" width="10" hidden="0" customWidth="1"/>
    <x:col min="7" max="7" width="15" hidden="0" customWidth="1"/>
    <x:col min="8" max="8" width="13" hidden="0" customWidth="1"/>
    <x:col min="9" max="9" width="15" hidden="0" customWidth="1"/>
    <x:col min="10" max="10" width="13" hidden="0" customWidth="1"/>
    <x:col min="11" max="11" width="16" hidden="0" customWidth="1"/>
    <x:col min="12" max="12" width="14" hidden="0" customWidth="1"/>
    <x:col min="13" max="13" width="17" hidden="0" customWidth="1"/>
    <x:col min="14" max="14" width="15" hidden="0" customWidth="1"/>
    <x:col min="15" max="15" width="14" hidden="0" customWidth="1"/>
    <x:col min="16" max="16" width="14" hidden="0" customWidth="1"/>
    <x:col min="17" max="17" width="15" hidden="0" customWidth="1"/>
    <x:col min="18" max="18" width="14" hidden="0" customWidth="1"/>
    <x:col min="19" max="19" width="14" hidden="0" customWidth="1"/>
    <x:col min="20" max="20" width="12" hidden="0" customWidth="1"/>
    <x:col min="21" max="21" width="14" hidden="0" customWidth="1"/>
    <x:col min="22" max="22" width="16" hidden="0" customWidth="1"/>
    <x:col min="23" max="23" width="17" hidden="0" customWidth="1"/>
    <x:col min="24" max="24" width="17" hidden="0" customWidth="1"/>
  </x:cols>
  <x:sheetData>
    <x:row r="1" ht="28" customHeight="1">
      <x:c r="A1" s="5" t="str">
        <x:v>GALAXAM LOGISTICS - GRAND LIVRE DE PAIE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</x:row>
    <x:row r="2">
      <x:c r="A2" s="12" t="str">
        <x:v>État mensuel nominatif - synthèse des bulletins de paie validés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</x:row>
    <x:row r="4">
      <x:c r="A4" s="24" t="str">
        <x:v>Période</x:v>
      </x:c>
      <x:c r="B4" s="25" t="str">
        <x:v>Date début</x:v>
      </x:c>
      <x:c r="C4" s="25" t="str">
        <x:v>Date fin</x:v>
      </x:c>
      <x:c r="D4" s="25" t="str">
        <x:v>Référence campagne</x:v>
      </x:c>
      <x:c r="E4" s="25" t="str">
        <x:v>Statut</x:v>
      </x:c>
      <x:c r="F4" s="25" t="str">
        <x:v>Filiale</x:v>
      </x:c>
      <x:c r="G4" s="25" t="str">
        <x:v>Site</x:v>
      </x:c>
      <x:c r="H4" s="26" t="str">
        <x:v>Date d'édition</x:v>
      </x:c>
    </x:row>
    <x:row r="5">
      <x:c r="A5" s="27" t="str">
        <x:v>Décembre 2025</x:v>
      </x:c>
      <x:c r="B5" s="28" t="str">
        <x:v>26/11/2025</x:v>
      </x:c>
      <x:c r="C5" s="28" t="str">
        <x:v>25/12/2025</x:v>
      </x:c>
      <x:c r="D5" s="28" t="str">
        <x:v>PAIE-2025-12</x:v>
      </x:c>
      <x:c r="E5" s="28" t="str">
        <x:v>VALIDÉE</x:v>
      </x:c>
      <x:c r="F5" s="28" t="str">
        <x:v>Toutes</x:v>
      </x:c>
      <x:c r="G5" s="28" t="str">
        <x:v>Tous</x:v>
      </x:c>
      <x:c r="H5" s="29" t="str">
        <x:v>31/12/2025</x:v>
      </x:c>
    </x:row>
    <x:row r="7">
      <x:c r="A7" s="39" t="str">
        <x:v>IDENTIFICATION</x:v>
      </x:c>
      <x:c r="B7" s="39"/>
      <x:c r="C7" s="39"/>
      <x:c r="D7" s="39"/>
      <x:c r="E7" s="39"/>
      <x:c r="F7" s="39"/>
      <x:c r="G7" s="39" t="str">
        <x:v>RÉMUNÉRATION &amp; TEMPS</x:v>
      </x:c>
      <x:c r="H7" s="39"/>
      <x:c r="I7" s="39"/>
      <x:c r="J7" s="39"/>
      <x:c r="K7" s="39"/>
      <x:c r="L7" s="39"/>
      <x:c r="M7" s="39"/>
      <x:c r="N7" s="39" t="str">
        <x:v>COTISATIONS &amp; FISCALITÉ</x:v>
      </x:c>
      <x:c r="O7" s="39"/>
      <x:c r="P7" s="39"/>
      <x:c r="Q7" s="39"/>
      <x:c r="R7" s="39"/>
      <x:c r="S7" s="39" t="str">
        <x:v>RETENUES</x:v>
      </x:c>
      <x:c r="T7" s="39"/>
      <x:c r="U7" s="39"/>
      <x:c r="V7" s="39" t="str">
        <x:v>SYNTHÈSE</x:v>
      </x:c>
      <x:c r="W7" s="39"/>
      <x:c r="X7" s="39"/>
    </x:row>
    <x:row r="8" ht="36" customHeight="1">
      <x:c r="A8" s="66" t="str">
        <x:v>Matricule</x:v>
      </x:c>
      <x:c r="B8" s="67" t="str">
        <x:v>Nom &amp; prénom</x:v>
      </x:c>
      <x:c r="C8" s="67" t="str">
        <x:v>Filiale</x:v>
      </x:c>
      <x:c r="D8" s="67" t="str">
        <x:v>Site</x:v>
      </x:c>
      <x:c r="E8" s="67" t="str">
        <x:v>Poste</x:v>
      </x:c>
      <x:c r="F8" s="67" t="str">
        <x:v>Régime</x:v>
      </x:c>
      <x:c r="G8" s="67" t="str">
        <x:v>Salaire de base</x:v>
      </x:c>
      <x:c r="H8" s="67" t="str">
        <x:v>NB absence (h)</x:v>
      </x:c>
      <x:c r="I8" s="67" t="str">
        <x:v>Retenue absence</x:v>
      </x:c>
      <x:c r="J8" s="67" t="str">
        <x:v>Nb congés (j)</x:v>
      </x:c>
      <x:c r="K8" s="67" t="str">
        <x:v>Indemnité congé</x:v>
      </x:c>
      <x:c r="L8" s="67" t="str">
        <x:v>Heures sup.</x:v>
      </x:c>
      <x:c r="M8" s="67" t="str">
        <x:v>Indemnités / primes</x:v>
      </x:c>
      <x:c r="N8" s="67" t="str">
        <x:v>Salaire brut</x:v>
      </x:c>
      <x:c r="O8" s="67" t="str">
        <x:v>CNaPS salarié</x:v>
      </x:c>
      <x:c r="P8" s="67" t="str">
        <x:v>Santé salarié</x:v>
      </x:c>
      <x:c r="Q8" s="67" t="str">
        <x:v>Net imposable</x:v>
      </x:c>
      <x:c r="R8" s="67" t="str">
        <x:v>IRSA / ISI</x:v>
      </x:c>
      <x:c r="S8" s="67" t="str">
        <x:v>Avance / acompte</x:v>
      </x:c>
      <x:c r="T8" s="67" t="str">
        <x:v>Prêt</x:v>
      </x:c>
      <x:c r="U8" s="67" t="str">
        <x:v>Autres retenues</x:v>
      </x:c>
      <x:c r="V8" s="67" t="str">
        <x:v>Net à payer</x:v>
      </x:c>
      <x:c r="W8" s="67" t="str">
        <x:v>Cotisations patronales</x:v>
      </x:c>
      <x:c r="X8" s="68" t="str">
        <x:v>Coût employeur</x:v>
      </x:c>
    </x:row>
    <x:row r="9">
      <x:c r="A9" s="77" t="str">
        <x:v>2</x:v>
      </x:c>
      <x:c r="B9" s="78" t="str">
        <x:v>RAKETAKA</x:v>
      </x:c>
      <x:c r="C9" s="78" t="str">
        <x:v>GALAXAM</x:v>
      </x:c>
      <x:c r="D9" s="78" t="str">
        <x:v>TNR</x:v>
      </x:c>
      <x:c r="E9" s="78" t="str">
        <x:v>Agent</x:v>
      </x:c>
      <x:c r="F9" s="78" t="str">
        <x:v>IRSA</x:v>
      </x:c>
      <x:c r="G9" s="89" t="n">
        <x:v>625000</x:v>
      </x:c>
      <x:c r="H9" s="101" t="n">
        <x:v>11.52</x:v>
      </x:c>
      <x:c r="I9" s="89" t="n">
        <x:v>240052.06</x:v>
      </x:c>
      <x:c r="J9" s="101" t="n">
        <x:v>11.5</x:v>
      </x:c>
      <x:c r="K9" s="89" t="n">
        <x:v>222503.38</x:v>
      </x:c>
      <x:c r="L9" s="89" t="n">
        <x:v>0</x:v>
      </x:c>
      <x:c r="M9" s="89" t="n">
        <x:v>25257.1428571429</x:v>
      </x:c>
      <x:c r="N9" s="89" t="n">
        <x:v>632708.4629</x:v>
      </x:c>
      <x:c r="O9" s="89" t="n">
        <x:v>6327.084629</x:v>
      </x:c>
      <x:c r="P9" s="89" t="n">
        <x:v>6327.084629</x:v>
      </x:c>
      <x:c r="Q9" s="89" t="n">
        <x:v>620054.2936</x:v>
      </x:c>
      <x:c r="R9" s="89" t="n">
        <x:v>31500</x:v>
      </x:c>
      <x:c r="S9" s="89" t="n">
        <x:v>0</x:v>
      </x:c>
      <x:c r="T9" s="89" t="n">
        <x:v>0</x:v>
      </x:c>
      <x:c r="U9" s="89" t="n">
        <x:v>21470</x:v>
      </x:c>
      <x:c r="V9" s="89" t="n">
        <x:v>567080</x:v>
      </x:c>
      <x:c r="W9" s="89" t="n">
        <x:v>0</x:v>
      </x:c>
      <x:c r="X9" s="90" t="n">
        <x:v>632708.4629</x:v>
      </x:c>
    </x:row>
    <x:row r="10">
      <x:c r="A10" s="77" t="str">
        <x:v>3</x:v>
      </x:c>
      <x:c r="B10" s="78" t="str">
        <x:v>RASOA</x:v>
      </x:c>
      <x:c r="C10" s="78" t="str">
        <x:v>GALAXAM</x:v>
      </x:c>
      <x:c r="D10" s="78" t="str">
        <x:v>TNR</x:v>
      </x:c>
      <x:c r="E10" s="78" t="str">
        <x:v>Agent</x:v>
      </x:c>
      <x:c r="F10" s="78" t="str">
        <x:v>IRSA</x:v>
      </x:c>
      <x:c r="G10" s="89" t="n">
        <x:v>620000</x:v>
      </x:c>
      <x:c r="H10" s="101" t="n">
        <x:v>12.52</x:v>
      </x:c>
      <x:c r="I10" s="89" t="n">
        <x:v>266890.71</x:v>
      </x:c>
      <x:c r="J10" s="101" t="n">
        <x:v>12.5</x:v>
      </x:c>
      <x:c r="K10" s="89" t="n">
        <x:v>177206.375</x:v>
      </x:c>
      <x:c r="L10" s="89" t="n">
        <x:v>0</x:v>
      </x:c>
      <x:c r="M10" s="89" t="n">
        <x:v>41728.5714285714</x:v>
      </x:c>
      <x:c r="N10" s="89" t="n">
        <x:v>572044.2364</x:v>
      </x:c>
      <x:c r="O10" s="89" t="n">
        <x:v>5720.442364</x:v>
      </x:c>
      <x:c r="P10" s="89" t="n">
        <x:v>5720.442364</x:v>
      </x:c>
      <x:c r="Q10" s="89" t="n">
        <x:v>560603.3517</x:v>
      </x:c>
      <x:c r="R10" s="89" t="n">
        <x:v>21590</x:v>
      </x:c>
      <x:c r="S10" s="89" t="n">
        <x:v>0</x:v>
      </x:c>
      <x:c r="T10" s="89" t="n">
        <x:v>0</x:v>
      </x:c>
      <x:c r="U10" s="89" t="n">
        <x:v>0</x:v>
      </x:c>
      <x:c r="V10" s="89" t="n">
        <x:v>539010</x:v>
      </x:c>
      <x:c r="W10" s="89" t="n">
        <x:v>0</x:v>
      </x:c>
      <x:c r="X10" s="90" t="n">
        <x:v>572044.2364</x:v>
      </x:c>
    </x:row>
    <x:row r="11">
      <x:c r="A11" s="77" t="str">
        <x:v>4</x:v>
      </x:c>
      <x:c r="B11" s="78" t="str">
        <x:v>RAKOTO</x:v>
      </x:c>
      <x:c r="C11" s="78" t="str">
        <x:v>GALAXAM</x:v>
      </x:c>
      <x:c r="D11" s="78" t="str">
        <x:v>TNR</x:v>
      </x:c>
      <x:c r="E11" s="78" t="str">
        <x:v>Agent</x:v>
      </x:c>
      <x:c r="F11" s="78" t="str">
        <x:v>IRSA</x:v>
      </x:c>
      <x:c r="G11" s="89" t="n">
        <x:v>400000</x:v>
      </x:c>
      <x:c r="H11" s="101" t="n">
        <x:v>1.51</x:v>
      </x:c>
      <x:c r="I11" s="89" t="n">
        <x:v>20184.61</x:v>
      </x:c>
      <x:c r="J11" s="101" t="n">
        <x:v>1.5</x:v>
      </x:c>
      <x:c r="K11" s="89" t="n">
        <x:v>18401.76</x:v>
      </x:c>
      <x:c r="L11" s="89" t="n">
        <x:v>49831.03</x:v>
      </x:c>
      <x:c r="M11" s="89" t="n">
        <x:v>56182.1428571429</x:v>
      </x:c>
      <x:c r="N11" s="89" t="n">
        <x:v>504230.3229</x:v>
      </x:c>
      <x:c r="O11" s="89" t="n">
        <x:v>5042.303229</x:v>
      </x:c>
      <x:c r="P11" s="89" t="n">
        <x:v>7563.454843</x:v>
      </x:c>
      <x:c r="Q11" s="89" t="n">
        <x:v>491624.5648</x:v>
      </x:c>
      <x:c r="R11" s="89" t="n">
        <x:v>11660</x:v>
      </x:c>
      <x:c r="S11" s="89" t="n">
        <x:v>0</x:v>
      </x:c>
      <x:c r="T11" s="89" t="n">
        <x:v>0</x:v>
      </x:c>
      <x:c r="U11" s="89" t="n">
        <x:v>0</x:v>
      </x:c>
      <x:c r="V11" s="89" t="n">
        <x:v>479960</x:v>
      </x:c>
      <x:c r="W11" s="89" t="n">
        <x:v>0</x:v>
      </x:c>
      <x:c r="X11" s="90" t="n">
        <x:v>504230.3229</x:v>
      </x:c>
    </x:row>
    <x:row r="12">
      <x:c r="A12" s="77"/>
      <x:c r="B12" s="78"/>
      <x:c r="C12" s="78"/>
      <x:c r="D12" s="78"/>
      <x:c r="E12" s="78"/>
      <x:c r="F12" s="78"/>
      <x:c r="G12" s="89"/>
      <x:c r="H12" s="101"/>
      <x:c r="I12" s="89"/>
      <x:c r="J12" s="101"/>
      <x:c r="K12" s="89"/>
      <x:c r="L12" s="89"/>
      <x:c r="M12" s="89"/>
      <x:c r="N12" s="89"/>
      <x:c r="O12" s="89"/>
      <x:c r="P12" s="89"/>
      <x:c r="Q12" s="89"/>
      <x:c r="R12" s="89"/>
      <x:c r="S12" s="89"/>
      <x:c r="T12" s="89"/>
      <x:c r="U12" s="89"/>
      <x:c r="V12" s="89"/>
      <x:c r="W12" s="89"/>
      <x:c r="X12" s="90"/>
    </x:row>
    <x:row r="13">
      <x:c r="A13" s="77"/>
      <x:c r="B13" s="78"/>
      <x:c r="C13" s="78"/>
      <x:c r="D13" s="78"/>
      <x:c r="E13" s="78"/>
      <x:c r="F13" s="78"/>
      <x:c r="G13" s="89"/>
      <x:c r="H13" s="101"/>
      <x:c r="I13" s="89"/>
      <x:c r="J13" s="101"/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/>
      <x:c r="V13" s="89"/>
      <x:c r="W13" s="89"/>
      <x:c r="X13" s="90"/>
    </x:row>
    <x:row r="14">
      <x:c r="A14" s="77"/>
      <x:c r="B14" s="78"/>
      <x:c r="C14" s="78"/>
      <x:c r="D14" s="78"/>
      <x:c r="E14" s="78"/>
      <x:c r="F14" s="78"/>
      <x:c r="G14" s="89"/>
      <x:c r="H14" s="101"/>
      <x:c r="I14" s="89"/>
      <x:c r="J14" s="101"/>
      <x:c r="K14" s="89"/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89"/>
      <x:c r="W14" s="89"/>
      <x:c r="X14" s="90"/>
    </x:row>
    <x:row r="15">
      <x:c r="A15" s="77"/>
      <x:c r="B15" s="78"/>
      <x:c r="C15" s="78"/>
      <x:c r="D15" s="78"/>
      <x:c r="E15" s="78"/>
      <x:c r="F15" s="78"/>
      <x:c r="G15" s="89"/>
      <x:c r="H15" s="101"/>
      <x:c r="I15" s="89"/>
      <x:c r="J15" s="101"/>
      <x:c r="K15" s="89"/>
      <x:c r="L15" s="89"/>
      <x:c r="M15" s="89"/>
      <x:c r="N15" s="89"/>
      <x:c r="O15" s="89"/>
      <x:c r="P15" s="89"/>
      <x:c r="Q15" s="89"/>
      <x:c r="R15" s="89"/>
      <x:c r="S15" s="89"/>
      <x:c r="T15" s="89"/>
      <x:c r="U15" s="89"/>
      <x:c r="V15" s="89"/>
      <x:c r="W15" s="89"/>
      <x:c r="X15" s="90"/>
    </x:row>
    <x:row r="16">
      <x:c r="A16" s="77"/>
      <x:c r="B16" s="78"/>
      <x:c r="C16" s="78"/>
      <x:c r="D16" s="78"/>
      <x:c r="E16" s="78"/>
      <x:c r="F16" s="78"/>
      <x:c r="G16" s="89"/>
      <x:c r="H16" s="101"/>
      <x:c r="I16" s="89"/>
      <x:c r="J16" s="101"/>
      <x:c r="K16" s="89"/>
      <x:c r="L16" s="89"/>
      <x:c r="M16" s="89"/>
      <x:c r="N16" s="89"/>
      <x:c r="O16" s="89"/>
      <x:c r="P16" s="89"/>
      <x:c r="Q16" s="89"/>
      <x:c r="R16" s="89"/>
      <x:c r="S16" s="89"/>
      <x:c r="T16" s="89"/>
      <x:c r="U16" s="89"/>
      <x:c r="V16" s="89"/>
      <x:c r="W16" s="89"/>
      <x:c r="X16" s="90"/>
    </x:row>
    <x:row r="17">
      <x:c r="A17" s="77"/>
      <x:c r="B17" s="78"/>
      <x:c r="C17" s="78"/>
      <x:c r="D17" s="78"/>
      <x:c r="E17" s="78"/>
      <x:c r="F17" s="78"/>
      <x:c r="G17" s="89"/>
      <x:c r="H17" s="101"/>
      <x:c r="I17" s="89"/>
      <x:c r="J17" s="101"/>
      <x:c r="K17" s="89"/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89"/>
      <x:c r="W17" s="89"/>
      <x:c r="X17" s="90"/>
    </x:row>
    <x:row r="18">
      <x:c r="A18" s="77"/>
      <x:c r="B18" s="78"/>
      <x:c r="C18" s="78"/>
      <x:c r="D18" s="78"/>
      <x:c r="E18" s="78"/>
      <x:c r="F18" s="78"/>
      <x:c r="G18" s="89"/>
      <x:c r="H18" s="101"/>
      <x:c r="I18" s="89"/>
      <x:c r="J18" s="101"/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89"/>
      <x:c r="W18" s="89"/>
      <x:c r="X18" s="90"/>
    </x:row>
    <x:row r="19">
      <x:c r="A19" s="77"/>
      <x:c r="B19" s="78"/>
      <x:c r="C19" s="78"/>
      <x:c r="D19" s="78"/>
      <x:c r="E19" s="78"/>
      <x:c r="F19" s="78"/>
      <x:c r="G19" s="89"/>
      <x:c r="H19" s="101"/>
      <x:c r="I19" s="89"/>
      <x:c r="J19" s="101"/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89"/>
      <x:c r="W19" s="89"/>
      <x:c r="X19" s="90"/>
    </x:row>
    <x:row r="20">
      <x:c r="A20" s="77"/>
      <x:c r="B20" s="78"/>
      <x:c r="C20" s="78"/>
      <x:c r="D20" s="78"/>
      <x:c r="E20" s="78"/>
      <x:c r="F20" s="78"/>
      <x:c r="G20" s="89"/>
      <x:c r="H20" s="101"/>
      <x:c r="I20" s="89"/>
      <x:c r="J20" s="101"/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89"/>
      <x:c r="W20" s="89"/>
      <x:c r="X20" s="90"/>
    </x:row>
    <x:row r="21">
      <x:c r="A21" s="77"/>
      <x:c r="B21" s="78"/>
      <x:c r="C21" s="78"/>
      <x:c r="D21" s="78"/>
      <x:c r="E21" s="78"/>
      <x:c r="F21" s="78"/>
      <x:c r="G21" s="89"/>
      <x:c r="H21" s="101"/>
      <x:c r="I21" s="89"/>
      <x:c r="J21" s="101"/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89"/>
      <x:c r="W21" s="89"/>
      <x:c r="X21" s="90"/>
    </x:row>
    <x:row r="22">
      <x:c r="A22" s="77"/>
      <x:c r="B22" s="78"/>
      <x:c r="C22" s="78"/>
      <x:c r="D22" s="78"/>
      <x:c r="E22" s="78"/>
      <x:c r="F22" s="78"/>
      <x:c r="G22" s="89"/>
      <x:c r="H22" s="101"/>
      <x:c r="I22" s="89"/>
      <x:c r="J22" s="101"/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89"/>
      <x:c r="W22" s="89"/>
      <x:c r="X22" s="90"/>
    </x:row>
    <x:row r="23">
      <x:c r="A23" s="77"/>
      <x:c r="B23" s="78"/>
      <x:c r="C23" s="78"/>
      <x:c r="D23" s="78"/>
      <x:c r="E23" s="78"/>
      <x:c r="F23" s="78"/>
      <x:c r="G23" s="89"/>
      <x:c r="H23" s="101"/>
      <x:c r="I23" s="89"/>
      <x:c r="J23" s="101"/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89"/>
      <x:c r="W23" s="89"/>
      <x:c r="X23" s="90"/>
    </x:row>
    <x:row r="24">
      <x:c r="A24" s="77"/>
      <x:c r="B24" s="78"/>
      <x:c r="C24" s="78"/>
      <x:c r="D24" s="78"/>
      <x:c r="E24" s="78"/>
      <x:c r="F24" s="78"/>
      <x:c r="G24" s="89"/>
      <x:c r="H24" s="101"/>
      <x:c r="I24" s="89"/>
      <x:c r="J24" s="101"/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89"/>
      <x:c r="W24" s="89"/>
      <x:c r="X24" s="90"/>
    </x:row>
    <x:row r="25">
      <x:c r="A25" s="77"/>
      <x:c r="B25" s="78"/>
      <x:c r="C25" s="78"/>
      <x:c r="D25" s="78"/>
      <x:c r="E25" s="78"/>
      <x:c r="F25" s="78"/>
      <x:c r="G25" s="89"/>
      <x:c r="H25" s="101"/>
      <x:c r="I25" s="89"/>
      <x:c r="J25" s="101"/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89"/>
      <x:c r="W25" s="89"/>
      <x:c r="X25" s="90"/>
    </x:row>
    <x:row r="26">
      <x:c r="A26" s="77"/>
      <x:c r="B26" s="78"/>
      <x:c r="C26" s="78"/>
      <x:c r="D26" s="78"/>
      <x:c r="E26" s="78"/>
      <x:c r="F26" s="78"/>
      <x:c r="G26" s="89"/>
      <x:c r="H26" s="101"/>
      <x:c r="I26" s="89"/>
      <x:c r="J26" s="101"/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89"/>
      <x:c r="W26" s="89"/>
      <x:c r="X26" s="90"/>
    </x:row>
    <x:row r="27">
      <x:c r="A27" s="77"/>
      <x:c r="B27" s="78"/>
      <x:c r="C27" s="78"/>
      <x:c r="D27" s="78"/>
      <x:c r="E27" s="78"/>
      <x:c r="F27" s="78"/>
      <x:c r="G27" s="89"/>
      <x:c r="H27" s="101"/>
      <x:c r="I27" s="89"/>
      <x:c r="J27" s="101"/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89"/>
      <x:c r="W27" s="89"/>
      <x:c r="X27" s="90"/>
    </x:row>
    <x:row r="28">
      <x:c r="A28" s="77"/>
      <x:c r="B28" s="78"/>
      <x:c r="C28" s="78"/>
      <x:c r="D28" s="78"/>
      <x:c r="E28" s="78"/>
      <x:c r="F28" s="78"/>
      <x:c r="G28" s="89"/>
      <x:c r="H28" s="101"/>
      <x:c r="I28" s="89"/>
      <x:c r="J28" s="101"/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89"/>
      <x:c r="W28" s="89"/>
      <x:c r="X28" s="90"/>
    </x:row>
    <x:row r="29">
      <x:c r="A29" s="77"/>
      <x:c r="B29" s="78"/>
      <x:c r="C29" s="78"/>
      <x:c r="D29" s="78"/>
      <x:c r="E29" s="78"/>
      <x:c r="F29" s="78"/>
      <x:c r="G29" s="89"/>
      <x:c r="H29" s="101"/>
      <x:c r="I29" s="89"/>
      <x:c r="J29" s="101"/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89"/>
      <x:c r="W29" s="89"/>
      <x:c r="X29" s="90"/>
    </x:row>
    <x:row r="30">
      <x:c r="A30" s="80"/>
      <x:c r="B30" s="81"/>
      <x:c r="C30" s="81"/>
      <x:c r="D30" s="81"/>
      <x:c r="E30" s="81"/>
      <x:c r="F30" s="81"/>
      <x:c r="G30" s="91"/>
      <x:c r="H30" s="102"/>
      <x:c r="I30" s="91"/>
      <x:c r="J30" s="102"/>
      <x:c r="K30" s="91"/>
      <x:c r="L30" s="91"/>
      <x:c r="M30" s="91"/>
      <x:c r="N30" s="91"/>
      <x:c r="O30" s="91"/>
      <x:c r="P30" s="91"/>
      <x:c r="Q30" s="91"/>
      <x:c r="R30" s="91"/>
      <x:c r="S30" s="91"/>
      <x:c r="T30" s="91"/>
      <x:c r="U30" s="91"/>
      <x:c r="V30" s="91"/>
      <x:c r="W30" s="91"/>
      <x:c r="X30" s="92"/>
    </x:row>
    <x:row r="31">
      <x:c r="A31" s="58" t="str">
        <x:v>TOTAL CAMPAGNE</x:v>
      </x:c>
      <x:c r="B31" s="59"/>
      <x:c r="C31" s="59"/>
      <x:c r="D31" s="59"/>
      <x:c r="E31" s="59"/>
      <x:c r="F31" s="59"/>
      <x:c r="G31" s="93" t="n">
        <x:f>SUM(G9:G30)</x:f>
        <x:v>1645000</x:v>
      </x:c>
      <x:c r="H31" s="93" t="n">
        <x:f>SUM(H9:H30)</x:f>
        <x:v>25.55</x:v>
      </x:c>
      <x:c r="I31" s="93" t="n">
        <x:f>SUM(I9:I30)</x:f>
        <x:v>527127.38</x:v>
      </x:c>
      <x:c r="J31" s="93" t="n">
        <x:f>SUM(J9:J30)</x:f>
        <x:v>25.5</x:v>
      </x:c>
      <x:c r="K31" s="93" t="n">
        <x:f>SUM(K9:K30)</x:f>
        <x:v>418111.515</x:v>
      </x:c>
      <x:c r="L31" s="93" t="n">
        <x:f>SUM(L9:L30)</x:f>
        <x:v>49831.03</x:v>
      </x:c>
      <x:c r="M31" s="93" t="n">
        <x:f>SUM(M9:M30)</x:f>
        <x:v>123167.85714285719</x:v>
      </x:c>
      <x:c r="N31" s="93" t="n">
        <x:f>SUM(N9:N30)</x:f>
        <x:v>1708983.0222</x:v>
      </x:c>
      <x:c r="O31" s="93" t="n">
        <x:f>SUM(O9:O30)</x:f>
        <x:v>17089.830222</x:v>
      </x:c>
      <x:c r="P31" s="93" t="n">
        <x:f>SUM(P9:P30)</x:f>
        <x:v>19610.981836</x:v>
      </x:c>
      <x:c r="Q31" s="93" t="n">
        <x:f>SUM(Q9:Q30)</x:f>
        <x:v>1672282.2101</x:v>
      </x:c>
      <x:c r="R31" s="93" t="n">
        <x:f>SUM(R9:R30)</x:f>
        <x:v>64750</x:v>
      </x:c>
      <x:c r="S31" s="93" t="n">
        <x:f>SUM(S9:S30)</x:f>
        <x:v>0</x:v>
      </x:c>
      <x:c r="T31" s="93" t="n">
        <x:f>SUM(T9:T30)</x:f>
        <x:v>0</x:v>
      </x:c>
      <x:c r="U31" s="93" t="n">
        <x:f>SUM(U9:U30)</x:f>
        <x:v>21470</x:v>
      </x:c>
      <x:c r="V31" s="93" t="n">
        <x:f>SUM(V9:V30)</x:f>
        <x:v>1586050</x:v>
      </x:c>
      <x:c r="W31" s="93" t="n">
        <x:f>SUM(W9:W30)</x:f>
        <x:v>0</x:v>
      </x:c>
      <x:c r="X31" s="94" t="n">
        <x:f>SUM(X9:X30)</x:f>
        <x:v>1708983.0222</x:v>
      </x:c>
    </x:row>
  </x:sheetData>
  <x:mergeCells>
    <x:mergeCell ref="A1:X1"/>
    <x:mergeCell ref="A2:X2"/>
    <x:mergeCell ref="A7:F7"/>
    <x:mergeCell ref="G7:M7"/>
    <x:mergeCell ref="N7:R7"/>
    <x:mergeCell ref="S7:U7"/>
    <x:mergeCell ref="V7:X7"/>
    <x:mergeCell ref="A31:F31"/>
  </x:mergeCells>
  <x:conditionalFormatting sqref="V9:V30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{5634E836-7D23-8CDC-5D6D-D238BB44F478}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634E836-7D23-8CDC-5D6D-D238BB44F478}">
            <x14:dataBar gradient="1">
              <x14:cfvo type="min"/>
              <x14:cfvo type="max"/>
              <x14:fillColor rgb="FFA02B93"/>
            </x14:dataBar>
          </x14:cfRule>
          <xm:sqref>V9:V30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31.1299991607666" hidden="0" customWidth="1"/>
    <x:col min="2" max="2" width="7.880000114440918" hidden="0" customWidth="1"/>
    <x:col min="3" max="3" width="20" hidden="0" customWidth="1"/>
    <x:col min="4" max="4" width="11.5" hidden="0" customWidth="1"/>
    <x:col min="5" max="5" width="28" hidden="0" customWidth="1"/>
    <x:col min="6" max="6" width="7.5" hidden="0" customWidth="1"/>
    <x:col min="7" max="7" width="24" hidden="0" customWidth="1"/>
    <x:col min="8" max="8" width="11" hidden="0" customWidth="1"/>
    <x:col min="9" max="9" width="7.25" hidden="0" customWidth="1"/>
    <x:col min="10" max="10" width="9.5" hidden="0" customWidth="1"/>
    <x:col min="11" max="11" width="10.880000114440918" hidden="0" customWidth="1"/>
    <x:col min="12" max="12" width="12.630000114440918" hidden="0" customWidth="1"/>
    <x:col min="13" max="13" width="14.130000114440918" hidden="0" customWidth="1"/>
  </x:cols>
  <x:sheetData>
    <x:row r="1">
      <x:c r="A1" s="106" t="str">
        <x:v>DÉTAIL DES RUBRIQUES DE PAIE</x:v>
      </x:c>
      <x:c r="B1" s="106"/>
      <x:c r="C1" s="106"/>
      <x:c r="D1" s="106"/>
      <x:c r="E1" s="106"/>
      <x:c r="F1" s="106"/>
      <x:c r="G1" s="106"/>
      <x:c r="H1" s="106"/>
      <x:c r="I1" s="106"/>
      <x:c r="J1" s="106"/>
      <x:c r="K1" s="106"/>
      <x:c r="L1" s="106"/>
      <x:c r="M1" s="106"/>
    </x:row>
    <x:row r="3" ht="32" customHeight="1">
      <x:c r="A3" s="119" t="str">
        <x:v>Référence bulletin</x:v>
      </x:c>
      <x:c r="B3" s="120" t="str">
        <x:v>Matricule</x:v>
      </x:c>
      <x:c r="C3" s="120" t="str">
        <x:v>Nom &amp; prénom</x:v>
      </x:c>
      <x:c r="D3" s="120" t="str">
        <x:v>Code rubrique</x:v>
      </x:c>
      <x:c r="E3" s="120" t="str">
        <x:v>Libellé rubrique</x:v>
      </x:c>
      <x:c r="F3" s="120" t="str">
        <x:v>Sens</x:v>
      </x:c>
      <x:c r="G3" s="120" t="str">
        <x:v>Catégorie</x:v>
      </x:c>
      <x:c r="H3" s="120" t="str">
        <x:v>Base calcul</x:v>
      </x:c>
      <x:c r="I3" s="120" t="str">
        <x:v>Quantité</x:v>
      </x:c>
      <x:c r="J3" s="120" t="str">
        <x:v>Taux salarié</x:v>
      </x:c>
      <x:c r="K3" s="120" t="str">
        <x:v>Taux patronal</x:v>
      </x:c>
      <x:c r="L3" s="120" t="str">
        <x:v>Montant salarié</x:v>
      </x:c>
      <x:c r="M3" s="121" t="str">
        <x:v>Montant patronal</x:v>
      </x:c>
    </x:row>
    <x:row r="4">
      <x:c r="A4" s="69" t="str">
        <x:v>BP-2025-12-001</x:v>
      </x:c>
      <x:c r="B4" s="70" t="str">
        <x:v>2</x:v>
      </x:c>
      <x:c r="C4" s="70" t="str">
        <x:v>RAKETAKA</x:v>
      </x:c>
      <x:c r="D4" s="70" t="str">
        <x:v>BASE</x:v>
      </x:c>
      <x:c r="E4" s="70" t="str">
        <x:v>Salaire de base</x:v>
      </x:c>
      <x:c r="F4" s="70" t="str">
        <x:v>GAIN</x:v>
      </x:c>
      <x:c r="G4" s="70" t="str">
        <x:v>SALAIRE_BASE</x:v>
      </x:c>
      <x:c r="H4" s="115" t="n">
        <x:v>625000</x:v>
      </x:c>
      <x:c r="I4" s="115" t="n">
        <x:v>1</x:v>
      </x:c>
      <x:c r="J4" s="117" t="n">
        <x:v>1</x:v>
      </x:c>
      <x:c r="K4" s="117" t="n">
        <x:v>0</x:v>
      </x:c>
      <x:c r="L4" s="115" t="n">
        <x:v>625000</x:v>
      </x:c>
      <x:c r="M4" s="122" t="n">
        <x:v>0</x:v>
      </x:c>
    </x:row>
    <x:row r="5">
      <x:c r="A5" s="69" t="str">
        <x:v>BP-2025-12-001</x:v>
      </x:c>
      <x:c r="B5" s="70" t="str">
        <x:v>2</x:v>
      </x:c>
      <x:c r="C5" s="70" t="str">
        <x:v>RAKETAKA</x:v>
      </x:c>
      <x:c r="D5" s="70" t="str">
        <x:v>ABS</x:v>
      </x:c>
      <x:c r="E5" s="70" t="str">
        <x:v>Retenue absence</x:v>
      </x:c>
      <x:c r="F5" s="70" t="str">
        <x:v>RETENUE</x:v>
      </x:c>
      <x:c r="G5" s="70" t="str">
        <x:v>RETENUE_DIVERSE</x:v>
      </x:c>
      <x:c r="H5" s="115" t="n">
        <x:v>240052.06</x:v>
      </x:c>
      <x:c r="I5" s="115" t="n">
        <x:v>11.52</x:v>
      </x:c>
      <x:c r="J5" s="117" t="n">
        <x:v>0</x:v>
      </x:c>
      <x:c r="K5" s="117" t="n">
        <x:v>0</x:v>
      </x:c>
      <x:c r="L5" s="115" t="n">
        <x:v>240052.06</x:v>
      </x:c>
      <x:c r="M5" s="122" t="n">
        <x:v>0</x:v>
      </x:c>
    </x:row>
    <x:row r="6">
      <x:c r="A6" s="69" t="str">
        <x:v>BP-2025-12-001</x:v>
      </x:c>
      <x:c r="B6" s="70" t="str">
        <x:v>2</x:v>
      </x:c>
      <x:c r="C6" s="70" t="str">
        <x:v>RAKETAKA</x:v>
      </x:c>
      <x:c r="D6" s="70" t="str">
        <x:v>CONGE</x:v>
      </x:c>
      <x:c r="E6" s="70" t="str">
        <x:v>Indemnité congé</x:v>
      </x:c>
      <x:c r="F6" s="70" t="str">
        <x:v>GAIN</x:v>
      </x:c>
      <x:c r="G6" s="70" t="str">
        <x:v>INDEMNITE_IMPOSABLE</x:v>
      </x:c>
      <x:c r="H6" s="115" t="n">
        <x:v>19348.12</x:v>
      </x:c>
      <x:c r="I6" s="115" t="n">
        <x:v>11.5</x:v>
      </x:c>
      <x:c r="J6" s="117" t="n">
        <x:v>0</x:v>
      </x:c>
      <x:c r="K6" s="117" t="n">
        <x:v>0</x:v>
      </x:c>
      <x:c r="L6" s="115" t="n">
        <x:v>222503.38</x:v>
      </x:c>
      <x:c r="M6" s="122" t="n">
        <x:v>0</x:v>
      </x:c>
    </x:row>
    <x:row r="7">
      <x:c r="A7" s="69" t="str">
        <x:v>BP-2025-12-001</x:v>
      </x:c>
      <x:c r="B7" s="70" t="str">
        <x:v>2</x:v>
      </x:c>
      <x:c r="C7" s="70" t="str">
        <x:v>RAKETAKA</x:v>
      </x:c>
      <x:c r="D7" s="70" t="str">
        <x:v>AUTIMP</x:v>
      </x:c>
      <x:c r="E7" s="70" t="str">
        <x:v>Indemnités / primes</x:v>
      </x:c>
      <x:c r="F7" s="70" t="str">
        <x:v>GAIN</x:v>
      </x:c>
      <x:c r="G7" s="70" t="str">
        <x:v>INDEMNITE_IMPOSABLE</x:v>
      </x:c>
      <x:c r="H7" s="115" t="n">
        <x:v>25257.1428571429</x:v>
      </x:c>
      <x:c r="I7" s="115" t="n">
        <x:v>1</x:v>
      </x:c>
      <x:c r="J7" s="117" t="n">
        <x:v>0</x:v>
      </x:c>
      <x:c r="K7" s="117" t="n">
        <x:v>0</x:v>
      </x:c>
      <x:c r="L7" s="115" t="n">
        <x:v>25257.1428571429</x:v>
      </x:c>
      <x:c r="M7" s="122" t="n">
        <x:v>0</x:v>
      </x:c>
    </x:row>
    <x:row r="8">
      <x:c r="A8" s="69" t="str">
        <x:v>BP-2025-12-001</x:v>
      </x:c>
      <x:c r="B8" s="70" t="str">
        <x:v>2</x:v>
      </x:c>
      <x:c r="C8" s="70" t="str">
        <x:v>RAKETAKA</x:v>
      </x:c>
      <x:c r="D8" s="70" t="str">
        <x:v>CNAPS</x:v>
      </x:c>
      <x:c r="E8" s="70" t="str">
        <x:v>CNaPS salarié</x:v>
      </x:c>
      <x:c r="F8" s="70" t="str">
        <x:v>RETENUE</x:v>
      </x:c>
      <x:c r="G8" s="70" t="str">
        <x:v>COTISATION_SALARIALE</x:v>
      </x:c>
      <x:c r="H8" s="115" t="n">
        <x:v>632708.4629</x:v>
      </x:c>
      <x:c r="I8" s="115" t="n">
        <x:v>1</x:v>
      </x:c>
      <x:c r="J8" s="117" t="n">
        <x:v>0.01</x:v>
      </x:c>
      <x:c r="K8" s="117" t="n">
        <x:v>0.13</x:v>
      </x:c>
      <x:c r="L8" s="115" t="n">
        <x:v>6327.084629</x:v>
      </x:c>
      <x:c r="M8" s="122" t="n">
        <x:v>0</x:v>
      </x:c>
    </x:row>
    <x:row r="9">
      <x:c r="A9" s="69" t="str">
        <x:v>BP-2025-12-001</x:v>
      </x:c>
      <x:c r="B9" s="70" t="str">
        <x:v>2</x:v>
      </x:c>
      <x:c r="C9" s="70" t="str">
        <x:v>RAKETAKA</x:v>
      </x:c>
      <x:c r="D9" s="70" t="str">
        <x:v>SANTE</x:v>
      </x:c>
      <x:c r="E9" s="70" t="str">
        <x:v>Santé salarié</x:v>
      </x:c>
      <x:c r="F9" s="70" t="str">
        <x:v>RETENUE</x:v>
      </x:c>
      <x:c r="G9" s="70" t="str">
        <x:v>COTISATION_SALARIALE</x:v>
      </x:c>
      <x:c r="H9" s="115" t="n">
        <x:v>632708.4629</x:v>
      </x:c>
      <x:c r="I9" s="115" t="n">
        <x:v>1</x:v>
      </x:c>
      <x:c r="J9" s="117" t="n">
        <x:v>0.01</x:v>
      </x:c>
      <x:c r="K9" s="117" t="n">
        <x:v>0.05</x:v>
      </x:c>
      <x:c r="L9" s="115" t="n">
        <x:v>6327.084629</x:v>
      </x:c>
      <x:c r="M9" s="122" t="n">
        <x:v>0</x:v>
      </x:c>
    </x:row>
    <x:row r="10">
      <x:c r="A10" s="69" t="str">
        <x:v>BP-2025-12-001</x:v>
      </x:c>
      <x:c r="B10" s="70" t="str">
        <x:v>2</x:v>
      </x:c>
      <x:c r="C10" s="70" t="str">
        <x:v>RAKETAKA</x:v>
      </x:c>
      <x:c r="D10" s="70" t="str">
        <x:v>IRSA</x:v>
      </x:c>
      <x:c r="E10" s="70" t="str">
        <x:v>IRSA</x:v>
      </x:c>
      <x:c r="F10" s="70" t="str">
        <x:v>RETENUE</x:v>
      </x:c>
      <x:c r="G10" s="70" t="str">
        <x:v>IMPOT</x:v>
      </x:c>
      <x:c r="H10" s="115" t="n">
        <x:v>620000</x:v>
      </x:c>
      <x:c r="I10" s="115" t="n">
        <x:v>1</x:v>
      </x:c>
      <x:c r="J10" s="117" t="n">
        <x:v>0</x:v>
      </x:c>
      <x:c r="K10" s="117" t="n">
        <x:v>0</x:v>
      </x:c>
      <x:c r="L10" s="115" t="n">
        <x:v>31500</x:v>
      </x:c>
      <x:c r="M10" s="122" t="n">
        <x:v>0</x:v>
      </x:c>
    </x:row>
    <x:row r="11">
      <x:c r="A11" s="69"/>
      <x:c r="B11" s="70"/>
      <x:c r="C11" s="70"/>
      <x:c r="D11" s="70"/>
      <x:c r="E11" s="70"/>
      <x:c r="F11" s="70"/>
      <x:c r="G11" s="70"/>
      <x:c r="H11" s="115"/>
      <x:c r="I11" s="115"/>
      <x:c r="J11" s="117"/>
      <x:c r="K11" s="117"/>
      <x:c r="L11" s="115"/>
      <x:c r="M11" s="122"/>
    </x:row>
    <x:row r="12">
      <x:c r="A12" s="69"/>
      <x:c r="B12" s="70"/>
      <x:c r="C12" s="70"/>
      <x:c r="D12" s="70"/>
      <x:c r="E12" s="70"/>
      <x:c r="F12" s="70"/>
      <x:c r="G12" s="70"/>
      <x:c r="H12" s="115"/>
      <x:c r="I12" s="115"/>
      <x:c r="J12" s="117"/>
      <x:c r="K12" s="117"/>
      <x:c r="L12" s="115"/>
      <x:c r="M12" s="122"/>
    </x:row>
    <x:row r="13">
      <x:c r="A13" s="69"/>
      <x:c r="B13" s="70"/>
      <x:c r="C13" s="70"/>
      <x:c r="D13" s="70"/>
      <x:c r="E13" s="70"/>
      <x:c r="F13" s="70"/>
      <x:c r="G13" s="70"/>
      <x:c r="H13" s="115"/>
      <x:c r="I13" s="115"/>
      <x:c r="J13" s="117"/>
      <x:c r="K13" s="117"/>
      <x:c r="L13" s="115"/>
      <x:c r="M13" s="122"/>
    </x:row>
    <x:row r="14">
      <x:c r="A14" s="69"/>
      <x:c r="B14" s="70"/>
      <x:c r="C14" s="70"/>
      <x:c r="D14" s="70"/>
      <x:c r="E14" s="70"/>
      <x:c r="F14" s="70"/>
      <x:c r="G14" s="70"/>
      <x:c r="H14" s="115"/>
      <x:c r="I14" s="115"/>
      <x:c r="J14" s="117"/>
      <x:c r="K14" s="117"/>
      <x:c r="L14" s="115"/>
      <x:c r="M14" s="122"/>
    </x:row>
    <x:row r="15">
      <x:c r="A15" s="69"/>
      <x:c r="B15" s="70"/>
      <x:c r="C15" s="70"/>
      <x:c r="D15" s="70"/>
      <x:c r="E15" s="70"/>
      <x:c r="F15" s="70"/>
      <x:c r="G15" s="70"/>
      <x:c r="H15" s="115"/>
      <x:c r="I15" s="115"/>
      <x:c r="J15" s="117"/>
      <x:c r="K15" s="117"/>
      <x:c r="L15" s="115"/>
      <x:c r="M15" s="122"/>
    </x:row>
    <x:row r="16">
      <x:c r="A16" s="69"/>
      <x:c r="B16" s="70"/>
      <x:c r="C16" s="70"/>
      <x:c r="D16" s="70"/>
      <x:c r="E16" s="70"/>
      <x:c r="F16" s="70"/>
      <x:c r="G16" s="70"/>
      <x:c r="H16" s="115"/>
      <x:c r="I16" s="115"/>
      <x:c r="J16" s="117"/>
      <x:c r="K16" s="117"/>
      <x:c r="L16" s="115"/>
      <x:c r="M16" s="122"/>
    </x:row>
    <x:row r="17">
      <x:c r="A17" s="69"/>
      <x:c r="B17" s="70"/>
      <x:c r="C17" s="70"/>
      <x:c r="D17" s="70"/>
      <x:c r="E17" s="70"/>
      <x:c r="F17" s="70"/>
      <x:c r="G17" s="70"/>
      <x:c r="H17" s="115"/>
      <x:c r="I17" s="115"/>
      <x:c r="J17" s="117"/>
      <x:c r="K17" s="117"/>
      <x:c r="L17" s="115"/>
      <x:c r="M17" s="122"/>
    </x:row>
    <x:row r="18">
      <x:c r="A18" s="69"/>
      <x:c r="B18" s="70"/>
      <x:c r="C18" s="70"/>
      <x:c r="D18" s="70"/>
      <x:c r="E18" s="70"/>
      <x:c r="F18" s="70"/>
      <x:c r="G18" s="70"/>
      <x:c r="H18" s="115"/>
      <x:c r="I18" s="115"/>
      <x:c r="J18" s="117"/>
      <x:c r="K18" s="117"/>
      <x:c r="L18" s="115"/>
      <x:c r="M18" s="122"/>
    </x:row>
    <x:row r="19">
      <x:c r="A19" s="69"/>
      <x:c r="B19" s="70"/>
      <x:c r="C19" s="70"/>
      <x:c r="D19" s="70"/>
      <x:c r="E19" s="70"/>
      <x:c r="F19" s="70"/>
      <x:c r="G19" s="70"/>
      <x:c r="H19" s="115"/>
      <x:c r="I19" s="115"/>
      <x:c r="J19" s="117"/>
      <x:c r="K19" s="117"/>
      <x:c r="L19" s="115"/>
      <x:c r="M19" s="122"/>
    </x:row>
    <x:row r="20">
      <x:c r="A20" s="69"/>
      <x:c r="B20" s="70"/>
      <x:c r="C20" s="70"/>
      <x:c r="D20" s="70"/>
      <x:c r="E20" s="70"/>
      <x:c r="F20" s="70"/>
      <x:c r="G20" s="70"/>
      <x:c r="H20" s="115"/>
      <x:c r="I20" s="115"/>
      <x:c r="J20" s="117"/>
      <x:c r="K20" s="117"/>
      <x:c r="L20" s="115"/>
      <x:c r="M20" s="122"/>
    </x:row>
    <x:row r="21">
      <x:c r="A21" s="69"/>
      <x:c r="B21" s="70"/>
      <x:c r="C21" s="70"/>
      <x:c r="D21" s="70"/>
      <x:c r="E21" s="70"/>
      <x:c r="F21" s="70"/>
      <x:c r="G21" s="70"/>
      <x:c r="H21" s="115"/>
      <x:c r="I21" s="115"/>
      <x:c r="J21" s="117"/>
      <x:c r="K21" s="117"/>
      <x:c r="L21" s="115"/>
      <x:c r="M21" s="122"/>
    </x:row>
    <x:row r="22">
      <x:c r="A22" s="69"/>
      <x:c r="B22" s="70"/>
      <x:c r="C22" s="70"/>
      <x:c r="D22" s="70"/>
      <x:c r="E22" s="70"/>
      <x:c r="F22" s="70"/>
      <x:c r="G22" s="70"/>
      <x:c r="H22" s="115"/>
      <x:c r="I22" s="115"/>
      <x:c r="J22" s="117"/>
      <x:c r="K22" s="117"/>
      <x:c r="L22" s="115"/>
      <x:c r="M22" s="122"/>
    </x:row>
    <x:row r="23">
      <x:c r="A23" s="69"/>
      <x:c r="B23" s="70"/>
      <x:c r="C23" s="70"/>
      <x:c r="D23" s="70"/>
      <x:c r="E23" s="70"/>
      <x:c r="F23" s="70"/>
      <x:c r="G23" s="70"/>
      <x:c r="H23" s="115"/>
      <x:c r="I23" s="115"/>
      <x:c r="J23" s="117"/>
      <x:c r="K23" s="117"/>
      <x:c r="L23" s="115"/>
      <x:c r="M23" s="122"/>
    </x:row>
    <x:row r="24">
      <x:c r="A24" s="69"/>
      <x:c r="B24" s="70"/>
      <x:c r="C24" s="70"/>
      <x:c r="D24" s="70"/>
      <x:c r="E24" s="70"/>
      <x:c r="F24" s="70"/>
      <x:c r="G24" s="70"/>
      <x:c r="H24" s="115"/>
      <x:c r="I24" s="115"/>
      <x:c r="J24" s="117"/>
      <x:c r="K24" s="117"/>
      <x:c r="L24" s="115"/>
      <x:c r="M24" s="122"/>
    </x:row>
    <x:row r="25">
      <x:c r="A25" s="69"/>
      <x:c r="B25" s="70"/>
      <x:c r="C25" s="70"/>
      <x:c r="D25" s="70"/>
      <x:c r="E25" s="70"/>
      <x:c r="F25" s="70"/>
      <x:c r="G25" s="70"/>
      <x:c r="H25" s="115"/>
      <x:c r="I25" s="115"/>
      <x:c r="J25" s="117"/>
      <x:c r="K25" s="117"/>
      <x:c r="L25" s="115"/>
      <x:c r="M25" s="122"/>
    </x:row>
    <x:row r="26">
      <x:c r="A26" s="69"/>
      <x:c r="B26" s="70"/>
      <x:c r="C26" s="70"/>
      <x:c r="D26" s="70"/>
      <x:c r="E26" s="70"/>
      <x:c r="F26" s="70"/>
      <x:c r="G26" s="70"/>
      <x:c r="H26" s="115"/>
      <x:c r="I26" s="115"/>
      <x:c r="J26" s="117"/>
      <x:c r="K26" s="117"/>
      <x:c r="L26" s="115"/>
      <x:c r="M26" s="122"/>
    </x:row>
    <x:row r="27">
      <x:c r="A27" s="69"/>
      <x:c r="B27" s="70"/>
      <x:c r="C27" s="70"/>
      <x:c r="D27" s="70"/>
      <x:c r="E27" s="70"/>
      <x:c r="F27" s="70"/>
      <x:c r="G27" s="70"/>
      <x:c r="H27" s="115"/>
      <x:c r="I27" s="115"/>
      <x:c r="J27" s="117"/>
      <x:c r="K27" s="117"/>
      <x:c r="L27" s="115"/>
      <x:c r="M27" s="122"/>
    </x:row>
    <x:row r="28">
      <x:c r="A28" s="69"/>
      <x:c r="B28" s="70"/>
      <x:c r="C28" s="70"/>
      <x:c r="D28" s="70"/>
      <x:c r="E28" s="70"/>
      <x:c r="F28" s="70"/>
      <x:c r="G28" s="70"/>
      <x:c r="H28" s="115"/>
      <x:c r="I28" s="115"/>
      <x:c r="J28" s="117"/>
      <x:c r="K28" s="117"/>
      <x:c r="L28" s="115"/>
      <x:c r="M28" s="122"/>
    </x:row>
    <x:row r="29">
      <x:c r="A29" s="69"/>
      <x:c r="B29" s="70"/>
      <x:c r="C29" s="70"/>
      <x:c r="D29" s="70"/>
      <x:c r="E29" s="70"/>
      <x:c r="F29" s="70"/>
      <x:c r="G29" s="70"/>
      <x:c r="H29" s="115"/>
      <x:c r="I29" s="115"/>
      <x:c r="J29" s="117"/>
      <x:c r="K29" s="117"/>
      <x:c r="L29" s="115"/>
      <x:c r="M29" s="122"/>
    </x:row>
    <x:row r="30">
      <x:c r="A30" s="69"/>
      <x:c r="B30" s="70"/>
      <x:c r="C30" s="70"/>
      <x:c r="D30" s="70"/>
      <x:c r="E30" s="70"/>
      <x:c r="F30" s="70"/>
      <x:c r="G30" s="70"/>
      <x:c r="H30" s="115"/>
      <x:c r="I30" s="115"/>
      <x:c r="J30" s="117"/>
      <x:c r="K30" s="117"/>
      <x:c r="L30" s="115"/>
      <x:c r="M30" s="122"/>
    </x:row>
    <x:row r="31">
      <x:c r="A31" s="69"/>
      <x:c r="B31" s="70"/>
      <x:c r="C31" s="70"/>
      <x:c r="D31" s="70"/>
      <x:c r="E31" s="70"/>
      <x:c r="F31" s="70"/>
      <x:c r="G31" s="70"/>
      <x:c r="H31" s="115"/>
      <x:c r="I31" s="115"/>
      <x:c r="J31" s="117"/>
      <x:c r="K31" s="117"/>
      <x:c r="L31" s="115"/>
      <x:c r="M31" s="122"/>
    </x:row>
    <x:row r="32">
      <x:c r="A32" s="69"/>
      <x:c r="B32" s="70"/>
      <x:c r="C32" s="70"/>
      <x:c r="D32" s="70"/>
      <x:c r="E32" s="70"/>
      <x:c r="F32" s="70"/>
      <x:c r="G32" s="70"/>
      <x:c r="H32" s="115"/>
      <x:c r="I32" s="115"/>
      <x:c r="J32" s="117"/>
      <x:c r="K32" s="117"/>
      <x:c r="L32" s="115"/>
      <x:c r="M32" s="122"/>
    </x:row>
    <x:row r="33">
      <x:c r="A33" s="69"/>
      <x:c r="B33" s="70"/>
      <x:c r="C33" s="70"/>
      <x:c r="D33" s="70"/>
      <x:c r="E33" s="70"/>
      <x:c r="F33" s="70"/>
      <x:c r="G33" s="70"/>
      <x:c r="H33" s="115"/>
      <x:c r="I33" s="115"/>
      <x:c r="J33" s="117"/>
      <x:c r="K33" s="117"/>
      <x:c r="L33" s="115"/>
      <x:c r="M33" s="122"/>
    </x:row>
    <x:row r="34">
      <x:c r="A34" s="69"/>
      <x:c r="B34" s="70"/>
      <x:c r="C34" s="70"/>
      <x:c r="D34" s="70"/>
      <x:c r="E34" s="70"/>
      <x:c r="F34" s="70"/>
      <x:c r="G34" s="70"/>
      <x:c r="H34" s="115"/>
      <x:c r="I34" s="115"/>
      <x:c r="J34" s="117"/>
      <x:c r="K34" s="117"/>
      <x:c r="L34" s="115"/>
      <x:c r="M34" s="122"/>
    </x:row>
    <x:row r="35">
      <x:c r="A35" s="69"/>
      <x:c r="B35" s="70"/>
      <x:c r="C35" s="70"/>
      <x:c r="D35" s="70"/>
      <x:c r="E35" s="70"/>
      <x:c r="F35" s="70"/>
      <x:c r="G35" s="70"/>
      <x:c r="H35" s="115"/>
      <x:c r="I35" s="115"/>
      <x:c r="J35" s="117"/>
      <x:c r="K35" s="117"/>
      <x:c r="L35" s="115"/>
      <x:c r="M35" s="122"/>
    </x:row>
    <x:row r="36">
      <x:c r="A36" s="69"/>
      <x:c r="B36" s="70"/>
      <x:c r="C36" s="70"/>
      <x:c r="D36" s="70"/>
      <x:c r="E36" s="70"/>
      <x:c r="F36" s="70"/>
      <x:c r="G36" s="70"/>
      <x:c r="H36" s="115"/>
      <x:c r="I36" s="115"/>
      <x:c r="J36" s="117"/>
      <x:c r="K36" s="117"/>
      <x:c r="L36" s="115"/>
      <x:c r="M36" s="122"/>
    </x:row>
    <x:row r="37">
      <x:c r="A37" s="69"/>
      <x:c r="B37" s="70"/>
      <x:c r="C37" s="70"/>
      <x:c r="D37" s="70"/>
      <x:c r="E37" s="70"/>
      <x:c r="F37" s="70"/>
      <x:c r="G37" s="70"/>
      <x:c r="H37" s="115"/>
      <x:c r="I37" s="115"/>
      <x:c r="J37" s="117"/>
      <x:c r="K37" s="117"/>
      <x:c r="L37" s="115"/>
      <x:c r="M37" s="122"/>
    </x:row>
    <x:row r="38">
      <x:c r="A38" s="69"/>
      <x:c r="B38" s="70"/>
      <x:c r="C38" s="70"/>
      <x:c r="D38" s="70"/>
      <x:c r="E38" s="70"/>
      <x:c r="F38" s="70"/>
      <x:c r="G38" s="70"/>
      <x:c r="H38" s="115"/>
      <x:c r="I38" s="115"/>
      <x:c r="J38" s="117"/>
      <x:c r="K38" s="117"/>
      <x:c r="L38" s="115"/>
      <x:c r="M38" s="122"/>
    </x:row>
    <x:row r="39">
      <x:c r="A39" s="69"/>
      <x:c r="B39" s="70"/>
      <x:c r="C39" s="70"/>
      <x:c r="D39" s="70"/>
      <x:c r="E39" s="70"/>
      <x:c r="F39" s="70"/>
      <x:c r="G39" s="70"/>
      <x:c r="H39" s="115"/>
      <x:c r="I39" s="115"/>
      <x:c r="J39" s="117"/>
      <x:c r="K39" s="117"/>
      <x:c r="L39" s="115"/>
      <x:c r="M39" s="122"/>
    </x:row>
    <x:row r="40">
      <x:c r="A40" s="69"/>
      <x:c r="B40" s="70"/>
      <x:c r="C40" s="70"/>
      <x:c r="D40" s="70"/>
      <x:c r="E40" s="70"/>
      <x:c r="F40" s="70"/>
      <x:c r="G40" s="70"/>
      <x:c r="H40" s="115"/>
      <x:c r="I40" s="115"/>
      <x:c r="J40" s="117"/>
      <x:c r="K40" s="117"/>
      <x:c r="L40" s="115"/>
      <x:c r="M40" s="122"/>
    </x:row>
    <x:row r="41">
      <x:c r="A41" s="69"/>
      <x:c r="B41" s="70"/>
      <x:c r="C41" s="70"/>
      <x:c r="D41" s="70"/>
      <x:c r="E41" s="70"/>
      <x:c r="F41" s="70"/>
      <x:c r="G41" s="70"/>
      <x:c r="H41" s="115"/>
      <x:c r="I41" s="115"/>
      <x:c r="J41" s="117"/>
      <x:c r="K41" s="117"/>
      <x:c r="L41" s="115"/>
      <x:c r="M41" s="122"/>
    </x:row>
    <x:row r="42">
      <x:c r="A42" s="69"/>
      <x:c r="B42" s="70"/>
      <x:c r="C42" s="70"/>
      <x:c r="D42" s="70"/>
      <x:c r="E42" s="70"/>
      <x:c r="F42" s="70"/>
      <x:c r="G42" s="70"/>
      <x:c r="H42" s="115"/>
      <x:c r="I42" s="115"/>
      <x:c r="J42" s="117"/>
      <x:c r="K42" s="117"/>
      <x:c r="L42" s="115"/>
      <x:c r="M42" s="122"/>
    </x:row>
    <x:row r="43">
      <x:c r="A43" s="69"/>
      <x:c r="B43" s="70"/>
      <x:c r="C43" s="70"/>
      <x:c r="D43" s="70"/>
      <x:c r="E43" s="70"/>
      <x:c r="F43" s="70"/>
      <x:c r="G43" s="70"/>
      <x:c r="H43" s="115"/>
      <x:c r="I43" s="115"/>
      <x:c r="J43" s="117"/>
      <x:c r="K43" s="117"/>
      <x:c r="L43" s="115"/>
      <x:c r="M43" s="122"/>
    </x:row>
    <x:row r="44">
      <x:c r="A44" s="69"/>
      <x:c r="B44" s="70"/>
      <x:c r="C44" s="70"/>
      <x:c r="D44" s="70"/>
      <x:c r="E44" s="70"/>
      <x:c r="F44" s="70"/>
      <x:c r="G44" s="70"/>
      <x:c r="H44" s="115"/>
      <x:c r="I44" s="115"/>
      <x:c r="J44" s="117"/>
      <x:c r="K44" s="117"/>
      <x:c r="L44" s="115"/>
      <x:c r="M44" s="122"/>
    </x:row>
    <x:row r="45">
      <x:c r="A45" s="69"/>
      <x:c r="B45" s="70"/>
      <x:c r="C45" s="70"/>
      <x:c r="D45" s="70"/>
      <x:c r="E45" s="70"/>
      <x:c r="F45" s="70"/>
      <x:c r="G45" s="70"/>
      <x:c r="H45" s="115"/>
      <x:c r="I45" s="115"/>
      <x:c r="J45" s="117"/>
      <x:c r="K45" s="117"/>
      <x:c r="L45" s="115"/>
      <x:c r="M45" s="122"/>
    </x:row>
    <x:row r="46">
      <x:c r="A46" s="69"/>
      <x:c r="B46" s="70"/>
      <x:c r="C46" s="70"/>
      <x:c r="D46" s="70"/>
      <x:c r="E46" s="70"/>
      <x:c r="F46" s="70"/>
      <x:c r="G46" s="70"/>
      <x:c r="H46" s="115"/>
      <x:c r="I46" s="115"/>
      <x:c r="J46" s="117"/>
      <x:c r="K46" s="117"/>
      <x:c r="L46" s="115"/>
      <x:c r="M46" s="122"/>
    </x:row>
    <x:row r="47">
      <x:c r="A47" s="69"/>
      <x:c r="B47" s="70"/>
      <x:c r="C47" s="70"/>
      <x:c r="D47" s="70"/>
      <x:c r="E47" s="70"/>
      <x:c r="F47" s="70"/>
      <x:c r="G47" s="70"/>
      <x:c r="H47" s="115"/>
      <x:c r="I47" s="115"/>
      <x:c r="J47" s="117"/>
      <x:c r="K47" s="117"/>
      <x:c r="L47" s="115"/>
      <x:c r="M47" s="122"/>
    </x:row>
    <x:row r="48">
      <x:c r="A48" s="69"/>
      <x:c r="B48" s="70"/>
      <x:c r="C48" s="70"/>
      <x:c r="D48" s="70"/>
      <x:c r="E48" s="70"/>
      <x:c r="F48" s="70"/>
      <x:c r="G48" s="70"/>
      <x:c r="H48" s="115"/>
      <x:c r="I48" s="115"/>
      <x:c r="J48" s="117"/>
      <x:c r="K48" s="117"/>
      <x:c r="L48" s="115"/>
      <x:c r="M48" s="122"/>
    </x:row>
    <x:row r="49">
      <x:c r="A49" s="69"/>
      <x:c r="B49" s="70"/>
      <x:c r="C49" s="70"/>
      <x:c r="D49" s="70"/>
      <x:c r="E49" s="70"/>
      <x:c r="F49" s="70"/>
      <x:c r="G49" s="70"/>
      <x:c r="H49" s="115"/>
      <x:c r="I49" s="115"/>
      <x:c r="J49" s="117"/>
      <x:c r="K49" s="117"/>
      <x:c r="L49" s="115"/>
      <x:c r="M49" s="122"/>
    </x:row>
    <x:row r="50">
      <x:c r="A50" s="69"/>
      <x:c r="B50" s="70"/>
      <x:c r="C50" s="70"/>
      <x:c r="D50" s="70"/>
      <x:c r="E50" s="70"/>
      <x:c r="F50" s="70"/>
      <x:c r="G50" s="70"/>
      <x:c r="H50" s="115"/>
      <x:c r="I50" s="115"/>
      <x:c r="J50" s="117"/>
      <x:c r="K50" s="117"/>
      <x:c r="L50" s="115"/>
      <x:c r="M50" s="122"/>
    </x:row>
    <x:row r="51">
      <x:c r="A51" s="69"/>
      <x:c r="B51" s="70"/>
      <x:c r="C51" s="70"/>
      <x:c r="D51" s="70"/>
      <x:c r="E51" s="70"/>
      <x:c r="F51" s="70"/>
      <x:c r="G51" s="70"/>
      <x:c r="H51" s="115"/>
      <x:c r="I51" s="115"/>
      <x:c r="J51" s="117"/>
      <x:c r="K51" s="117"/>
      <x:c r="L51" s="115"/>
      <x:c r="M51" s="122"/>
    </x:row>
    <x:row r="52">
      <x:c r="A52" s="69"/>
      <x:c r="B52" s="70"/>
      <x:c r="C52" s="70"/>
      <x:c r="D52" s="70"/>
      <x:c r="E52" s="70"/>
      <x:c r="F52" s="70"/>
      <x:c r="G52" s="70"/>
      <x:c r="H52" s="115"/>
      <x:c r="I52" s="115"/>
      <x:c r="J52" s="117"/>
      <x:c r="K52" s="117"/>
      <x:c r="L52" s="115"/>
      <x:c r="M52" s="122"/>
    </x:row>
    <x:row r="53">
      <x:c r="A53" s="69"/>
      <x:c r="B53" s="70"/>
      <x:c r="C53" s="70"/>
      <x:c r="D53" s="70"/>
      <x:c r="E53" s="70"/>
      <x:c r="F53" s="70"/>
      <x:c r="G53" s="70"/>
      <x:c r="H53" s="115"/>
      <x:c r="I53" s="115"/>
      <x:c r="J53" s="117"/>
      <x:c r="K53" s="117"/>
      <x:c r="L53" s="115"/>
      <x:c r="M53" s="122"/>
    </x:row>
    <x:row r="54">
      <x:c r="A54" s="69"/>
      <x:c r="B54" s="70"/>
      <x:c r="C54" s="70"/>
      <x:c r="D54" s="70"/>
      <x:c r="E54" s="70"/>
      <x:c r="F54" s="70"/>
      <x:c r="G54" s="70"/>
      <x:c r="H54" s="115"/>
      <x:c r="I54" s="115"/>
      <x:c r="J54" s="117"/>
      <x:c r="K54" s="117"/>
      <x:c r="L54" s="115"/>
      <x:c r="M54" s="122"/>
    </x:row>
    <x:row r="55">
      <x:c r="A55" s="69"/>
      <x:c r="B55" s="70"/>
      <x:c r="C55" s="70"/>
      <x:c r="D55" s="70"/>
      <x:c r="E55" s="70"/>
      <x:c r="F55" s="70"/>
      <x:c r="G55" s="70"/>
      <x:c r="H55" s="115"/>
      <x:c r="I55" s="115"/>
      <x:c r="J55" s="117"/>
      <x:c r="K55" s="117"/>
      <x:c r="L55" s="115"/>
      <x:c r="M55" s="122"/>
    </x:row>
    <x:row r="56">
      <x:c r="A56" s="69"/>
      <x:c r="B56" s="70"/>
      <x:c r="C56" s="70"/>
      <x:c r="D56" s="70"/>
      <x:c r="E56" s="70"/>
      <x:c r="F56" s="70"/>
      <x:c r="G56" s="70"/>
      <x:c r="H56" s="115"/>
      <x:c r="I56" s="115"/>
      <x:c r="J56" s="117"/>
      <x:c r="K56" s="117"/>
      <x:c r="L56" s="115"/>
      <x:c r="M56" s="122"/>
    </x:row>
    <x:row r="57">
      <x:c r="A57" s="69"/>
      <x:c r="B57" s="70"/>
      <x:c r="C57" s="70"/>
      <x:c r="D57" s="70"/>
      <x:c r="E57" s="70"/>
      <x:c r="F57" s="70"/>
      <x:c r="G57" s="70"/>
      <x:c r="H57" s="115"/>
      <x:c r="I57" s="115"/>
      <x:c r="J57" s="117"/>
      <x:c r="K57" s="117"/>
      <x:c r="L57" s="115"/>
      <x:c r="M57" s="122"/>
    </x:row>
    <x:row r="58">
      <x:c r="A58" s="69"/>
      <x:c r="B58" s="70"/>
      <x:c r="C58" s="70"/>
      <x:c r="D58" s="70"/>
      <x:c r="E58" s="70"/>
      <x:c r="F58" s="70"/>
      <x:c r="G58" s="70"/>
      <x:c r="H58" s="115"/>
      <x:c r="I58" s="115"/>
      <x:c r="J58" s="117"/>
      <x:c r="K58" s="117"/>
      <x:c r="L58" s="115"/>
      <x:c r="M58" s="122"/>
    </x:row>
    <x:row r="59">
      <x:c r="A59" s="69"/>
      <x:c r="B59" s="70"/>
      <x:c r="C59" s="70"/>
      <x:c r="D59" s="70"/>
      <x:c r="E59" s="70"/>
      <x:c r="F59" s="70"/>
      <x:c r="G59" s="70"/>
      <x:c r="H59" s="115"/>
      <x:c r="I59" s="115"/>
      <x:c r="J59" s="117"/>
      <x:c r="K59" s="117"/>
      <x:c r="L59" s="115"/>
      <x:c r="M59" s="122"/>
    </x:row>
    <x:row r="60">
      <x:c r="A60" s="69"/>
      <x:c r="B60" s="70"/>
      <x:c r="C60" s="70"/>
      <x:c r="D60" s="70"/>
      <x:c r="E60" s="70"/>
      <x:c r="F60" s="70"/>
      <x:c r="G60" s="70"/>
      <x:c r="H60" s="115"/>
      <x:c r="I60" s="115"/>
      <x:c r="J60" s="117"/>
      <x:c r="K60" s="117"/>
      <x:c r="L60" s="115"/>
      <x:c r="M60" s="122"/>
    </x:row>
    <x:row r="61">
      <x:c r="A61" s="69"/>
      <x:c r="B61" s="70"/>
      <x:c r="C61" s="70"/>
      <x:c r="D61" s="70"/>
      <x:c r="E61" s="70"/>
      <x:c r="F61" s="70"/>
      <x:c r="G61" s="70"/>
      <x:c r="H61" s="115"/>
      <x:c r="I61" s="115"/>
      <x:c r="J61" s="117"/>
      <x:c r="K61" s="117"/>
      <x:c r="L61" s="115"/>
      <x:c r="M61" s="122"/>
    </x:row>
    <x:row r="62">
      <x:c r="A62" s="69"/>
      <x:c r="B62" s="70"/>
      <x:c r="C62" s="70"/>
      <x:c r="D62" s="70"/>
      <x:c r="E62" s="70"/>
      <x:c r="F62" s="70"/>
      <x:c r="G62" s="70"/>
      <x:c r="H62" s="115"/>
      <x:c r="I62" s="115"/>
      <x:c r="J62" s="117"/>
      <x:c r="K62" s="117"/>
      <x:c r="L62" s="115"/>
      <x:c r="M62" s="122"/>
    </x:row>
    <x:row r="63">
      <x:c r="A63" s="69"/>
      <x:c r="B63" s="70"/>
      <x:c r="C63" s="70"/>
      <x:c r="D63" s="70"/>
      <x:c r="E63" s="70"/>
      <x:c r="F63" s="70"/>
      <x:c r="G63" s="70"/>
      <x:c r="H63" s="115"/>
      <x:c r="I63" s="115"/>
      <x:c r="J63" s="117"/>
      <x:c r="K63" s="117"/>
      <x:c r="L63" s="115"/>
      <x:c r="M63" s="122"/>
    </x:row>
    <x:row r="64">
      <x:c r="A64" s="69"/>
      <x:c r="B64" s="70"/>
      <x:c r="C64" s="70"/>
      <x:c r="D64" s="70"/>
      <x:c r="E64" s="70"/>
      <x:c r="F64" s="70"/>
      <x:c r="G64" s="70"/>
      <x:c r="H64" s="115"/>
      <x:c r="I64" s="115"/>
      <x:c r="J64" s="117"/>
      <x:c r="K64" s="117"/>
      <x:c r="L64" s="115"/>
      <x:c r="M64" s="122"/>
    </x:row>
    <x:row r="65">
      <x:c r="A65" s="69"/>
      <x:c r="B65" s="70"/>
      <x:c r="C65" s="70"/>
      <x:c r="D65" s="70"/>
      <x:c r="E65" s="70"/>
      <x:c r="F65" s="70"/>
      <x:c r="G65" s="70"/>
      <x:c r="H65" s="115"/>
      <x:c r="I65" s="115"/>
      <x:c r="J65" s="117"/>
      <x:c r="K65" s="117"/>
      <x:c r="L65" s="115"/>
      <x:c r="M65" s="122"/>
    </x:row>
    <x:row r="66">
      <x:c r="A66" s="69"/>
      <x:c r="B66" s="70"/>
      <x:c r="C66" s="70"/>
      <x:c r="D66" s="70"/>
      <x:c r="E66" s="70"/>
      <x:c r="F66" s="70"/>
      <x:c r="G66" s="70"/>
      <x:c r="H66" s="115"/>
      <x:c r="I66" s="115"/>
      <x:c r="J66" s="117"/>
      <x:c r="K66" s="117"/>
      <x:c r="L66" s="115"/>
      <x:c r="M66" s="122"/>
    </x:row>
    <x:row r="67">
      <x:c r="A67" s="69"/>
      <x:c r="B67" s="70"/>
      <x:c r="C67" s="70"/>
      <x:c r="D67" s="70"/>
      <x:c r="E67" s="70"/>
      <x:c r="F67" s="70"/>
      <x:c r="G67" s="70"/>
      <x:c r="H67" s="115"/>
      <x:c r="I67" s="115"/>
      <x:c r="J67" s="117"/>
      <x:c r="K67" s="117"/>
      <x:c r="L67" s="115"/>
      <x:c r="M67" s="122"/>
    </x:row>
    <x:row r="68">
      <x:c r="A68" s="69"/>
      <x:c r="B68" s="70"/>
      <x:c r="C68" s="70"/>
      <x:c r="D68" s="70"/>
      <x:c r="E68" s="70"/>
      <x:c r="F68" s="70"/>
      <x:c r="G68" s="70"/>
      <x:c r="H68" s="115"/>
      <x:c r="I68" s="115"/>
      <x:c r="J68" s="117"/>
      <x:c r="K68" s="117"/>
      <x:c r="L68" s="115"/>
      <x:c r="M68" s="122"/>
    </x:row>
    <x:row r="69">
      <x:c r="A69" s="69"/>
      <x:c r="B69" s="70"/>
      <x:c r="C69" s="70"/>
      <x:c r="D69" s="70"/>
      <x:c r="E69" s="70"/>
      <x:c r="F69" s="70"/>
      <x:c r="G69" s="70"/>
      <x:c r="H69" s="115"/>
      <x:c r="I69" s="115"/>
      <x:c r="J69" s="117"/>
      <x:c r="K69" s="117"/>
      <x:c r="L69" s="115"/>
      <x:c r="M69" s="122"/>
    </x:row>
    <x:row r="70">
      <x:c r="A70" s="69"/>
      <x:c r="B70" s="70"/>
      <x:c r="C70" s="70"/>
      <x:c r="D70" s="70"/>
      <x:c r="E70" s="70"/>
      <x:c r="F70" s="70"/>
      <x:c r="G70" s="70"/>
      <x:c r="H70" s="115"/>
      <x:c r="I70" s="115"/>
      <x:c r="J70" s="117"/>
      <x:c r="K70" s="117"/>
      <x:c r="L70" s="115"/>
      <x:c r="M70" s="122"/>
    </x:row>
    <x:row r="71">
      <x:c r="A71" s="69"/>
      <x:c r="B71" s="70"/>
      <x:c r="C71" s="70"/>
      <x:c r="D71" s="70"/>
      <x:c r="E71" s="70"/>
      <x:c r="F71" s="70"/>
      <x:c r="G71" s="70"/>
      <x:c r="H71" s="115"/>
      <x:c r="I71" s="115"/>
      <x:c r="J71" s="117"/>
      <x:c r="K71" s="117"/>
      <x:c r="L71" s="115"/>
      <x:c r="M71" s="122"/>
    </x:row>
    <x:row r="72">
      <x:c r="A72" s="69"/>
      <x:c r="B72" s="70"/>
      <x:c r="C72" s="70"/>
      <x:c r="D72" s="70"/>
      <x:c r="E72" s="70"/>
      <x:c r="F72" s="70"/>
      <x:c r="G72" s="70"/>
      <x:c r="H72" s="115"/>
      <x:c r="I72" s="115"/>
      <x:c r="J72" s="117"/>
      <x:c r="K72" s="117"/>
      <x:c r="L72" s="115"/>
      <x:c r="M72" s="122"/>
    </x:row>
    <x:row r="73">
      <x:c r="A73" s="69"/>
      <x:c r="B73" s="70"/>
      <x:c r="C73" s="70"/>
      <x:c r="D73" s="70"/>
      <x:c r="E73" s="70"/>
      <x:c r="F73" s="70"/>
      <x:c r="G73" s="70"/>
      <x:c r="H73" s="115"/>
      <x:c r="I73" s="115"/>
      <x:c r="J73" s="117"/>
      <x:c r="K73" s="117"/>
      <x:c r="L73" s="115"/>
      <x:c r="M73" s="122"/>
    </x:row>
    <x:row r="74">
      <x:c r="A74" s="69"/>
      <x:c r="B74" s="70"/>
      <x:c r="C74" s="70"/>
      <x:c r="D74" s="70"/>
      <x:c r="E74" s="70"/>
      <x:c r="F74" s="70"/>
      <x:c r="G74" s="70"/>
      <x:c r="H74" s="115"/>
      <x:c r="I74" s="115"/>
      <x:c r="J74" s="117"/>
      <x:c r="K74" s="117"/>
      <x:c r="L74" s="115"/>
      <x:c r="M74" s="122"/>
    </x:row>
    <x:row r="75">
      <x:c r="A75" s="69"/>
      <x:c r="B75" s="70"/>
      <x:c r="C75" s="70"/>
      <x:c r="D75" s="70"/>
      <x:c r="E75" s="70"/>
      <x:c r="F75" s="70"/>
      <x:c r="G75" s="70"/>
      <x:c r="H75" s="115"/>
      <x:c r="I75" s="115"/>
      <x:c r="J75" s="117"/>
      <x:c r="K75" s="117"/>
      <x:c r="L75" s="115"/>
      <x:c r="M75" s="122"/>
    </x:row>
    <x:row r="76">
      <x:c r="A76" s="69"/>
      <x:c r="B76" s="70"/>
      <x:c r="C76" s="70"/>
      <x:c r="D76" s="70"/>
      <x:c r="E76" s="70"/>
      <x:c r="F76" s="70"/>
      <x:c r="G76" s="70"/>
      <x:c r="H76" s="115"/>
      <x:c r="I76" s="115"/>
      <x:c r="J76" s="117"/>
      <x:c r="K76" s="117"/>
      <x:c r="L76" s="115"/>
      <x:c r="M76" s="122"/>
    </x:row>
    <x:row r="77">
      <x:c r="A77" s="69"/>
      <x:c r="B77" s="70"/>
      <x:c r="C77" s="70"/>
      <x:c r="D77" s="70"/>
      <x:c r="E77" s="70"/>
      <x:c r="F77" s="70"/>
      <x:c r="G77" s="70"/>
      <x:c r="H77" s="115"/>
      <x:c r="I77" s="115"/>
      <x:c r="J77" s="117"/>
      <x:c r="K77" s="117"/>
      <x:c r="L77" s="115"/>
      <x:c r="M77" s="122"/>
    </x:row>
    <x:row r="78">
      <x:c r="A78" s="69"/>
      <x:c r="B78" s="70"/>
      <x:c r="C78" s="70"/>
      <x:c r="D78" s="70"/>
      <x:c r="E78" s="70"/>
      <x:c r="F78" s="70"/>
      <x:c r="G78" s="70"/>
      <x:c r="H78" s="115"/>
      <x:c r="I78" s="115"/>
      <x:c r="J78" s="117"/>
      <x:c r="K78" s="117"/>
      <x:c r="L78" s="115"/>
      <x:c r="M78" s="122"/>
    </x:row>
    <x:row r="79">
      <x:c r="A79" s="69"/>
      <x:c r="B79" s="70"/>
      <x:c r="C79" s="70"/>
      <x:c r="D79" s="70"/>
      <x:c r="E79" s="70"/>
      <x:c r="F79" s="70"/>
      <x:c r="G79" s="70"/>
      <x:c r="H79" s="115"/>
      <x:c r="I79" s="115"/>
      <x:c r="J79" s="117"/>
      <x:c r="K79" s="117"/>
      <x:c r="L79" s="115"/>
      <x:c r="M79" s="122"/>
    </x:row>
    <x:row r="80">
      <x:c r="A80" s="69"/>
      <x:c r="B80" s="70"/>
      <x:c r="C80" s="70"/>
      <x:c r="D80" s="70"/>
      <x:c r="E80" s="70"/>
      <x:c r="F80" s="70"/>
      <x:c r="G80" s="70"/>
      <x:c r="H80" s="115"/>
      <x:c r="I80" s="115"/>
      <x:c r="J80" s="117"/>
      <x:c r="K80" s="117"/>
      <x:c r="L80" s="115"/>
      <x:c r="M80" s="122"/>
    </x:row>
    <x:row r="81">
      <x:c r="A81" s="69"/>
      <x:c r="B81" s="70"/>
      <x:c r="C81" s="70"/>
      <x:c r="D81" s="70"/>
      <x:c r="E81" s="70"/>
      <x:c r="F81" s="70"/>
      <x:c r="G81" s="70"/>
      <x:c r="H81" s="115"/>
      <x:c r="I81" s="115"/>
      <x:c r="J81" s="117"/>
      <x:c r="K81" s="117"/>
      <x:c r="L81" s="115"/>
      <x:c r="M81" s="122"/>
    </x:row>
    <x:row r="82">
      <x:c r="A82" s="69"/>
      <x:c r="B82" s="70"/>
      <x:c r="C82" s="70"/>
      <x:c r="D82" s="70"/>
      <x:c r="E82" s="70"/>
      <x:c r="F82" s="70"/>
      <x:c r="G82" s="70"/>
      <x:c r="H82" s="115"/>
      <x:c r="I82" s="115"/>
      <x:c r="J82" s="117"/>
      <x:c r="K82" s="117"/>
      <x:c r="L82" s="115"/>
      <x:c r="M82" s="122"/>
    </x:row>
    <x:row r="83">
      <x:c r="A83" s="69"/>
      <x:c r="B83" s="70"/>
      <x:c r="C83" s="70"/>
      <x:c r="D83" s="70"/>
      <x:c r="E83" s="70"/>
      <x:c r="F83" s="70"/>
      <x:c r="G83" s="70"/>
      <x:c r="H83" s="115"/>
      <x:c r="I83" s="115"/>
      <x:c r="J83" s="117"/>
      <x:c r="K83" s="117"/>
      <x:c r="L83" s="115"/>
      <x:c r="M83" s="122"/>
    </x:row>
    <x:row r="84">
      <x:c r="A84" s="69"/>
      <x:c r="B84" s="70"/>
      <x:c r="C84" s="70"/>
      <x:c r="D84" s="70"/>
      <x:c r="E84" s="70"/>
      <x:c r="F84" s="70"/>
      <x:c r="G84" s="70"/>
      <x:c r="H84" s="115"/>
      <x:c r="I84" s="115"/>
      <x:c r="J84" s="117"/>
      <x:c r="K84" s="117"/>
      <x:c r="L84" s="115"/>
      <x:c r="M84" s="122"/>
    </x:row>
    <x:row r="85">
      <x:c r="A85" s="69"/>
      <x:c r="B85" s="70"/>
      <x:c r="C85" s="70"/>
      <x:c r="D85" s="70"/>
      <x:c r="E85" s="70"/>
      <x:c r="F85" s="70"/>
      <x:c r="G85" s="70"/>
      <x:c r="H85" s="115"/>
      <x:c r="I85" s="115"/>
      <x:c r="J85" s="117"/>
      <x:c r="K85" s="117"/>
      <x:c r="L85" s="115"/>
      <x:c r="M85" s="122"/>
    </x:row>
    <x:row r="86">
      <x:c r="A86" s="69"/>
      <x:c r="B86" s="70"/>
      <x:c r="C86" s="70"/>
      <x:c r="D86" s="70"/>
      <x:c r="E86" s="70"/>
      <x:c r="F86" s="70"/>
      <x:c r="G86" s="70"/>
      <x:c r="H86" s="115"/>
      <x:c r="I86" s="115"/>
      <x:c r="J86" s="117"/>
      <x:c r="K86" s="117"/>
      <x:c r="L86" s="115"/>
      <x:c r="M86" s="122"/>
    </x:row>
    <x:row r="87">
      <x:c r="A87" s="69"/>
      <x:c r="B87" s="70"/>
      <x:c r="C87" s="70"/>
      <x:c r="D87" s="70"/>
      <x:c r="E87" s="70"/>
      <x:c r="F87" s="70"/>
      <x:c r="G87" s="70"/>
      <x:c r="H87" s="115"/>
      <x:c r="I87" s="115"/>
      <x:c r="J87" s="117"/>
      <x:c r="K87" s="117"/>
      <x:c r="L87" s="115"/>
      <x:c r="M87" s="122"/>
    </x:row>
    <x:row r="88">
      <x:c r="A88" s="69"/>
      <x:c r="B88" s="70"/>
      <x:c r="C88" s="70"/>
      <x:c r="D88" s="70"/>
      <x:c r="E88" s="70"/>
      <x:c r="F88" s="70"/>
      <x:c r="G88" s="70"/>
      <x:c r="H88" s="115"/>
      <x:c r="I88" s="115"/>
      <x:c r="J88" s="117"/>
      <x:c r="K88" s="117"/>
      <x:c r="L88" s="115"/>
      <x:c r="M88" s="122"/>
    </x:row>
    <x:row r="89">
      <x:c r="A89" s="69"/>
      <x:c r="B89" s="70"/>
      <x:c r="C89" s="70"/>
      <x:c r="D89" s="70"/>
      <x:c r="E89" s="70"/>
      <x:c r="F89" s="70"/>
      <x:c r="G89" s="70"/>
      <x:c r="H89" s="115"/>
      <x:c r="I89" s="115"/>
      <x:c r="J89" s="117"/>
      <x:c r="K89" s="117"/>
      <x:c r="L89" s="115"/>
      <x:c r="M89" s="122"/>
    </x:row>
    <x:row r="90">
      <x:c r="A90" s="69"/>
      <x:c r="B90" s="70"/>
      <x:c r="C90" s="70"/>
      <x:c r="D90" s="70"/>
      <x:c r="E90" s="70"/>
      <x:c r="F90" s="70"/>
      <x:c r="G90" s="70"/>
      <x:c r="H90" s="115"/>
      <x:c r="I90" s="115"/>
      <x:c r="J90" s="117"/>
      <x:c r="K90" s="117"/>
      <x:c r="L90" s="115"/>
      <x:c r="M90" s="122"/>
    </x:row>
    <x:row r="91">
      <x:c r="A91" s="69"/>
      <x:c r="B91" s="70"/>
      <x:c r="C91" s="70"/>
      <x:c r="D91" s="70"/>
      <x:c r="E91" s="70"/>
      <x:c r="F91" s="70"/>
      <x:c r="G91" s="70"/>
      <x:c r="H91" s="115"/>
      <x:c r="I91" s="115"/>
      <x:c r="J91" s="117"/>
      <x:c r="K91" s="117"/>
      <x:c r="L91" s="115"/>
      <x:c r="M91" s="122"/>
    </x:row>
    <x:row r="92">
      <x:c r="A92" s="69"/>
      <x:c r="B92" s="70"/>
      <x:c r="C92" s="70"/>
      <x:c r="D92" s="70"/>
      <x:c r="E92" s="70"/>
      <x:c r="F92" s="70"/>
      <x:c r="G92" s="70"/>
      <x:c r="H92" s="115"/>
      <x:c r="I92" s="115"/>
      <x:c r="J92" s="117"/>
      <x:c r="K92" s="117"/>
      <x:c r="L92" s="115"/>
      <x:c r="M92" s="122"/>
    </x:row>
    <x:row r="93">
      <x:c r="A93" s="69"/>
      <x:c r="B93" s="70"/>
      <x:c r="C93" s="70"/>
      <x:c r="D93" s="70"/>
      <x:c r="E93" s="70"/>
      <x:c r="F93" s="70"/>
      <x:c r="G93" s="70"/>
      <x:c r="H93" s="115"/>
      <x:c r="I93" s="115"/>
      <x:c r="J93" s="117"/>
      <x:c r="K93" s="117"/>
      <x:c r="L93" s="115"/>
      <x:c r="M93" s="122"/>
    </x:row>
    <x:row r="94">
      <x:c r="A94" s="69"/>
      <x:c r="B94" s="70"/>
      <x:c r="C94" s="70"/>
      <x:c r="D94" s="70"/>
      <x:c r="E94" s="70"/>
      <x:c r="F94" s="70"/>
      <x:c r="G94" s="70"/>
      <x:c r="H94" s="115"/>
      <x:c r="I94" s="115"/>
      <x:c r="J94" s="117"/>
      <x:c r="K94" s="117"/>
      <x:c r="L94" s="115"/>
      <x:c r="M94" s="122"/>
    </x:row>
    <x:row r="95">
      <x:c r="A95" s="69"/>
      <x:c r="B95" s="70"/>
      <x:c r="C95" s="70"/>
      <x:c r="D95" s="70"/>
      <x:c r="E95" s="70"/>
      <x:c r="F95" s="70"/>
      <x:c r="G95" s="70"/>
      <x:c r="H95" s="115"/>
      <x:c r="I95" s="115"/>
      <x:c r="J95" s="117"/>
      <x:c r="K95" s="117"/>
      <x:c r="L95" s="115"/>
      <x:c r="M95" s="122"/>
    </x:row>
    <x:row r="96">
      <x:c r="A96" s="69"/>
      <x:c r="B96" s="70"/>
      <x:c r="C96" s="70"/>
      <x:c r="D96" s="70"/>
      <x:c r="E96" s="70"/>
      <x:c r="F96" s="70"/>
      <x:c r="G96" s="70"/>
      <x:c r="H96" s="115"/>
      <x:c r="I96" s="115"/>
      <x:c r="J96" s="117"/>
      <x:c r="K96" s="117"/>
      <x:c r="L96" s="115"/>
      <x:c r="M96" s="122"/>
    </x:row>
    <x:row r="97">
      <x:c r="A97" s="69"/>
      <x:c r="B97" s="70"/>
      <x:c r="C97" s="70"/>
      <x:c r="D97" s="70"/>
      <x:c r="E97" s="70"/>
      <x:c r="F97" s="70"/>
      <x:c r="G97" s="70"/>
      <x:c r="H97" s="115"/>
      <x:c r="I97" s="115"/>
      <x:c r="J97" s="117"/>
      <x:c r="K97" s="117"/>
      <x:c r="L97" s="115"/>
      <x:c r="M97" s="122"/>
    </x:row>
    <x:row r="98">
      <x:c r="A98" s="69"/>
      <x:c r="B98" s="70"/>
      <x:c r="C98" s="70"/>
      <x:c r="D98" s="70"/>
      <x:c r="E98" s="70"/>
      <x:c r="F98" s="70"/>
      <x:c r="G98" s="70"/>
      <x:c r="H98" s="115"/>
      <x:c r="I98" s="115"/>
      <x:c r="J98" s="117"/>
      <x:c r="K98" s="117"/>
      <x:c r="L98" s="115"/>
      <x:c r="M98" s="122"/>
    </x:row>
    <x:row r="99">
      <x:c r="A99" s="69"/>
      <x:c r="B99" s="70"/>
      <x:c r="C99" s="70"/>
      <x:c r="D99" s="70"/>
      <x:c r="E99" s="70"/>
      <x:c r="F99" s="70"/>
      <x:c r="G99" s="70"/>
      <x:c r="H99" s="115"/>
      <x:c r="I99" s="115"/>
      <x:c r="J99" s="117"/>
      <x:c r="K99" s="117"/>
      <x:c r="L99" s="115"/>
      <x:c r="M99" s="122"/>
    </x:row>
    <x:row r="100">
      <x:c r="A100" s="27"/>
      <x:c r="B100" s="28"/>
      <x:c r="C100" s="28"/>
      <x:c r="D100" s="28"/>
      <x:c r="E100" s="28"/>
      <x:c r="F100" s="28"/>
      <x:c r="G100" s="28"/>
      <x:c r="H100" s="123"/>
      <x:c r="I100" s="123"/>
      <x:c r="J100" s="124"/>
      <x:c r="K100" s="124"/>
      <x:c r="L100" s="123"/>
      <x:c r="M100" s="125"/>
    </x:row>
  </x:sheetData>
  <x:mergeCells>
    <x:mergeCell ref="A1:M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</x:cols>
  <x:sheetData>
    <x:row r="1">
      <x:c r="A1" s="106" t="str">
        <x:v>CONTRÔLE DU GRAND LIVRE</x:v>
      </x:c>
      <x:c r="B1" s="106"/>
      <x:c r="C1" s="106"/>
      <x:c r="D1" s="106"/>
    </x:row>
    <x:row r="3">
      <x:c r="A3" s="133" t="str">
        <x:v>Indicateur</x:v>
      </x:c>
      <x:c r="B3" s="134" t="str">
        <x:v>Valeur</x:v>
      </x:c>
    </x:row>
    <x:row r="4">
      <x:c r="A4" s="69" t="str">
        <x:v>Nombre d'employés</x:v>
      </x:c>
      <x:c r="B4" s="71" t="n">
        <x:f>COUNTA('Grand livre'!A9:A30)</x:f>
        <x:v>3</x:v>
      </x:c>
    </x:row>
    <x:row r="5">
      <x:c r="A5" s="69" t="str">
        <x:v>Salaire de base total</x:v>
      </x:c>
      <x:c r="B5" s="122" t="n">
        <x:f>'Grand livre'!G31</x:f>
        <x:v>1645000</x:v>
      </x:c>
    </x:row>
    <x:row r="6">
      <x:c r="A6" s="69" t="str">
        <x:v>Brut total</x:v>
      </x:c>
      <x:c r="B6" s="122" t="n">
        <x:f>'Grand livre'!N31</x:f>
        <x:v>1708983.0222</x:v>
      </x:c>
    </x:row>
    <x:row r="7">
      <x:c r="A7" s="69" t="str">
        <x:v>Net imposable total</x:v>
      </x:c>
      <x:c r="B7" s="122" t="n">
        <x:f>'Grand livre'!Q31</x:f>
        <x:v>1672282.2101</x:v>
      </x:c>
    </x:row>
    <x:row r="8">
      <x:c r="A8" s="69" t="str">
        <x:v>Impôts total</x:v>
      </x:c>
      <x:c r="B8" s="122" t="n">
        <x:f>'Grand livre'!R31</x:f>
        <x:v>64750</x:v>
      </x:c>
    </x:row>
    <x:row r="9">
      <x:c r="A9" s="69" t="str">
        <x:v>Net à payer total</x:v>
      </x:c>
      <x:c r="B9" s="122" t="n">
        <x:f>'Grand livre'!V31</x:f>
        <x:v>1586050</x:v>
      </x:c>
    </x:row>
    <x:row r="10">
      <x:c r="A10" s="27" t="str">
        <x:v>Coût employeur total</x:v>
      </x:c>
      <x:c r="B10" s="125" t="n">
        <x:f>'Grand livre'!X31</x:f>
        <x:v>1708983.0222</x:v>
      </x:c>
    </x:row>
  </x:sheetData>
  <x:mergeCells>
    <x:mergeCell ref="A1:D1"/>
  </x:mergeCells>
  <x:pageMargins left="0.7" right="0.7" top="0.75" bottom="0.75" header="0.3" footer="0.3"/>
</x:worksheet>
</file>