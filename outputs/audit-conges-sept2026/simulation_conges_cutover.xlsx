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6be5f16aa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4460fddfb05042b6"/>
    <x:sheet xmlns:r="http://schemas.openxmlformats.org/officeDocument/2006/relationships" name="Modele DAF" sheetId="2" r:id="R5c6b2c574133438b"/>
    <x:sheet xmlns:r="http://schemas.openxmlformats.org/officeDocument/2006/relationships" name="Simulation lots" sheetId="3" r:id="Rab886407102d4c84"/>
    <x:sheet xmlns:r="http://schemas.openxmlformats.org/officeDocument/2006/relationships" name="Points a arbitrer" sheetId="4" r:id="Rde66f6a2499b44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1af072b424e58" /><Relationship Type="http://schemas.openxmlformats.org/officeDocument/2006/relationships/theme" Target="/xl/theme/theme1.xml" Id="R1696a94dab4943a5" /><Relationship Type="http://schemas.openxmlformats.org/officeDocument/2006/relationships/sharedStrings" Target="/xl/sharedStrings.xml" Id="Re3faf399f31a4284" /><Relationship Type="http://schemas.openxmlformats.org/officeDocument/2006/relationships/worksheet" Target="/xl/worksheets/sheet1.xml" Id="R4460fddfb05042b6" /><Relationship Type="http://schemas.openxmlformats.org/officeDocument/2006/relationships/worksheet" Target="/xl/worksheets/sheet2.xml" Id="R5c6b2c574133438b" /><Relationship Type="http://schemas.openxmlformats.org/officeDocument/2006/relationships/worksheet" Target="/xl/worksheets/sheet3.xml" Id="Rab886407102d4c84" /><Relationship Type="http://schemas.openxmlformats.org/officeDocument/2006/relationships/worksheet" Target="/xl/worksheets/sheet4.xml" Id="Rde66f6a2499b44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230" hidden="0" customWidth="1"/>
  </x:cols>
  <x:sheetData>
    <x:row r="1">
      <x:c r="A1" t="str">
        <x:v>AUDIT CONGES — simulation et rapprochement</x:v>
      </x:c>
    </x:row>
    <x:row r="2">
      <x:c r="A2" t="str">
        <x:v>Données DAF : OHATRA KAJY DROITS CONGES-given on sept26.xls, Feuille1, lignes 3 à 14</x:v>
      </x:c>
    </x:row>
    <x:row r="4">
      <x:c r="A4" s="3" t="str">
        <x:v>Contrôle</x:v>
      </x:c>
      <x:c r="B4" s="3" t="str">
        <x:v>Résultat</x:v>
      </x:c>
      <x:c r="C4" s="3" t="str">
        <x:v>Référence DAF</x:v>
      </x:c>
      <x:c r="D4" s="3" t="str">
        <x:v>Écart</x:v>
      </x:c>
    </x:row>
    <x:row r="5">
      <x:c r="A5" t="str">
        <x:v>Droits acquis sur 12 mois</x:v>
      </x:c>
      <x:c r="B5" t="n">
        <x:f>'Modele DAF'!F17</x:f>
        <x:v>29.956666666666667</x:v>
      </x:c>
      <x:c r="C5" t="n">
        <x:v>29.956666666666667</x:v>
      </x:c>
      <x:c r="D5" t="n">
        <x:f>B5-C5</x:f>
        <x:v>0</x:v>
      </x:c>
    </x:row>
    <x:row r="6">
      <x:c r="A6" t="str">
        <x:v>Valorisation cumulée (Ar)</x:v>
      </x:c>
      <x:c r="B6" t="n">
        <x:f>'Modele DAF'!G17</x:f>
        <x:v>324385.37634561106</x:v>
      </x:c>
      <x:c r="C6" t="n">
        <x:v>324385.37634561106</x:v>
      </x:c>
      <x:c r="D6" t="n">
        <x:f>B6-C6</x:f>
        <x:v>0</x:v>
      </x:c>
    </x:row>
    <x:row r="7">
      <x:c r="A7" t="str">
        <x:v>TCONGE calculé (Ar/j)</x:v>
      </x:c>
      <x:c r="B7" t="n">
        <x:f>B6/B5</x:f>
        <x:v>10828.487026113644</x:v>
      </x:c>
      <x:c r="C7" t="n">
        <x:v>10828.49</x:v>
      </x:c>
      <x:c r="D7" t="n">
        <x:f>B7-C7</x:f>
        <x:v>-0.0029738863559032325</x:v>
      </x:c>
    </x:row>
    <x:row r="9">
      <x:c r="A9" t="str">
        <x:v>Simulation : prise de 4 j</x:v>
      </x:c>
      <x:c r="B9" t="n">
        <x:f>'Simulation lots'!F8</x:f>
        <x:v>41000</x:v>
      </x:c>
    </x:row>
    <x:row r="10">
      <x:c r="A10" t="str">
        <x:v>Solde après prise (j)</x:v>
      </x:c>
      <x:c r="B10" t="n">
        <x:f>'Simulation lots'!H8</x:f>
        <x:v>1</x:v>
      </x:c>
    </x:row>
    <x:row r="11">
      <x:c r="A11" t="str">
        <x:v>Valeur restante (Ar)</x:v>
      </x:c>
      <x:c r="B11" t="n">
        <x:f>'Simulation lots'!I8</x:f>
        <x:v>12000</x:v>
      </x:c>
    </x:row>
    <x:row r="13">
      <x:c r="A13" t="str">
        <x:v>ATTENTION : valeur de stock FIFO ≠ allocation légale calculée sur les 12 mois avant le départ.</x:v>
      </x:c>
    </x:row>
    <x:row r="14">
      <x:c r="A14" t="str">
        <x:v>Les montants des scénarios sont fictifs ; aucun salarié réel ni paie réelle n’est modifié.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0" hidden="0" customWidth="1"/>
    <x:col min="2" max="2" width="145" hidden="0" customWidth="1"/>
    <x:col min="3" max="3" width="145" hidden="0" customWidth="1"/>
    <x:col min="4" max="4" width="145" hidden="0" customWidth="1"/>
    <x:col min="5" max="5" width="145" hidden="0" customWidth="1"/>
    <x:col min="6" max="6" width="145" hidden="0" customWidth="1"/>
    <x:col min="7" max="7" width="145" hidden="0" customWidth="1"/>
    <x:col min="8" max="8" width="145" hidden="0" customWidth="1"/>
  </x:cols>
  <x:sheetData>
    <x:row r="2">
      <x:c r="A2" t="str">
        <x:v>Source : classeur DAF fourni, Feuille1, lignes 3–14 ; valeurs copiées telles que lues.</x:v>
      </x:c>
    </x:row>
    <x:row r="4">
      <x:c r="A4" s="3" t="str">
        <x:v>Mois</x:v>
      </x:c>
      <x:c r="B4" s="3" t="str">
        <x:v>Net base K</x:v>
      </x:c>
      <x:c r="C4" s="3" t="str">
        <x:v>HS L</x:v>
      </x:c>
      <x:c r="D4" s="3" t="str">
        <x:v>Base totale</x:v>
      </x:c>
      <x:c r="E4" s="3" t="str">
        <x:v>Droit</x:v>
      </x:c>
      <x:c r="F4" s="3" t="str">
        <x:v>Cumul droits</x:v>
      </x:c>
      <x:c r="G4" s="3" t="str">
        <x:v>Cumul valeur</x:v>
      </x:c>
      <x:c r="H4" s="3" t="str">
        <x:v>Valeur mois</x:v>
      </x:c>
    </x:row>
    <x:row r="6">
      <x:c r="A6" t="n">
        <x:v>1</x:v>
      </x:c>
      <x:c r="B6" t="n">
        <x:v>277998.5328</x:v>
      </x:c>
      <x:c r="C6" t="n">
        <x:v>4339.2</x:v>
      </x:c>
      <x:c r="D6" t="n">
        <x:f>B6+C6</x:f>
        <x:v>282337.7328</x:v>
      </x:c>
      <x:c r="E6" t="n">
        <x:v>2.5</x:v>
      </x:c>
      <x:c r="F6" t="n">
        <x:f>SUM(E6:E6)</x:f>
        <x:v>2.5</x:v>
      </x:c>
      <x:c r="G6" t="n">
        <x:f>SUM(H6:H6)</x:f>
        <x:v>23528.144399999997</x:v>
      </x:c>
      <x:c r="H6" t="n">
        <x:f>D6*E6/30</x:f>
        <x:v>23528.144399999997</x:v>
      </x:c>
    </x:row>
    <x:row r="7">
      <x:c r="A7" t="n">
        <x:v>2</x:v>
      </x:c>
      <x:c r="B7" t="n">
        <x:v>299878.84</x:v>
      </x:c>
      <x:c r="C7" t="n">
        <x:v>12060.21</x:v>
      </x:c>
      <x:c r="D7" t="n">
        <x:f>B7+C7</x:f>
        <x:v>311939.05000000005</x:v>
      </x:c>
      <x:c r="E7" t="n">
        <x:v>2.4991666666666665</x:v>
      </x:c>
      <x:c r="F7" t="n">
        <x:f>SUM(E6:E7)</x:f>
        <x:v>4.9991666666666665</x:v>
      </x:c>
      <x:c r="G7" t="n">
        <x:f>SUM(H6:H7)</x:f>
        <x:v>49514.40025972222</x:v>
      </x:c>
      <x:c r="H7" t="n">
        <x:f>D7*E7/30</x:f>
        <x:v>25986.255859722223</x:v>
      </x:c>
    </x:row>
    <x:row r="8">
      <x:c r="A8" t="n">
        <x:v>3</x:v>
      </x:c>
      <x:c r="B8" t="n">
        <x:v>295498.26</x:v>
      </x:c>
      <x:c r="C8" t="n">
        <x:v>0</x:v>
      </x:c>
      <x:c r="D8" t="n">
        <x:f>B8+C8</x:f>
        <x:v>295498.26</x:v>
      </x:c>
      <x:c r="E8" t="n">
        <x:v>2.4933333333333336</x:v>
      </x:c>
      <x:c r="F8" t="n">
        <x:f>SUM(E6:E8)</x:f>
        <x:v>7.4925</x:v>
      </x:c>
      <x:c r="G8" t="n">
        <x:f>SUM(H6:H8)</x:f>
        <x:v>74073.58897972222</x:v>
      </x:c>
      <x:c r="H8" t="n">
        <x:f>D8*E8/30</x:f>
        <x:v>24559.188720000002</x:v>
      </x:c>
    </x:row>
    <x:row r="9">
      <x:c r="A9" t="n">
        <x:v>4</x:v>
      </x:c>
      <x:c r="B9" t="n">
        <x:v>290000</x:v>
      </x:c>
      <x:c r="C9" t="n">
        <x:v>562.51</x:v>
      </x:c>
      <x:c r="D9" t="n">
        <x:f>B9+C9</x:f>
        <x:v>290562.51</x:v>
      </x:c>
      <x:c r="E9" t="n">
        <x:v>2.5</x:v>
      </x:c>
      <x:c r="F9" t="n">
        <x:f>SUM(E6:E9)</x:f>
        <x:v>9.9925</x:v>
      </x:c>
      <x:c r="G9" t="n">
        <x:f>SUM(H6:H9)</x:f>
        <x:v>98287.13147972221</x:v>
      </x:c>
      <x:c r="H9" t="n">
        <x:f>D9*E9/30</x:f>
        <x:v>24213.5425</x:v>
      </x:c>
    </x:row>
    <x:row r="10">
      <x:c r="A10" t="n">
        <x:v>5</x:v>
      </x:c>
      <x:c r="B10" t="n">
        <x:v>300000</x:v>
      </x:c>
      <x:c r="C10" t="n">
        <x:v>10760.38</x:v>
      </x:c>
      <x:c r="D10" t="n">
        <x:f>B10+C10</x:f>
        <x:v>310760.38</x:v>
      </x:c>
      <x:c r="E10" t="n">
        <x:v>2.5</x:v>
      </x:c>
      <x:c r="F10" t="n">
        <x:f>SUM(E6:E10)</x:f>
        <x:v>12.4925</x:v>
      </x:c>
      <x:c r="G10" t="n">
        <x:f>SUM(H6:H10)</x:f>
        <x:v>124183.82981305555</x:v>
      </x:c>
      <x:c r="H10" t="n">
        <x:f>D10*E10/30</x:f>
        <x:v>25896.69833333333</x:v>
      </x:c>
    </x:row>
    <x:row r="11">
      <x:c r="A11" t="n">
        <x:v>6</x:v>
      </x:c>
      <x:c r="B11" t="n">
        <x:v>343942.19</x:v>
      </x:c>
      <x:c r="C11" t="n">
        <x:v>2336.3</x:v>
      </x:c>
      <x:c r="D11" t="n">
        <x:f>B11+C11</x:f>
        <x:v>346278.49</x:v>
      </x:c>
      <x:c r="E11" t="n">
        <x:v>2.4683333333333333</x:v>
      </x:c>
      <x:c r="F11" t="n">
        <x:f>SUM(E6:E11)</x:f>
        <x:v>14.960833333333333</x:v>
      </x:c>
      <x:c r="G11" t="n">
        <x:f>SUM(H6:H11)</x:f>
        <x:v>152674.8544625</x:v>
      </x:c>
      <x:c r="H11" t="n">
        <x:f>D11*E11/30</x:f>
        <x:v>28491.024649444444</x:v>
      </x:c>
    </x:row>
    <x:row r="12">
      <x:c r="A12" t="n">
        <x:v>7</x:v>
      </x:c>
      <x:c r="B12" t="n">
        <x:v>350000</x:v>
      </x:c>
      <x:c r="C12" t="n">
        <x:v>1627.53</x:v>
      </x:c>
      <x:c r="D12" t="n">
        <x:f>B12+C12</x:f>
        <x:v>351627.53</x:v>
      </x:c>
      <x:c r="E12" t="n">
        <x:v>2.5</x:v>
      </x:c>
      <x:c r="F12" t="n">
        <x:f>SUM(E6:E12)</x:f>
        <x:v>17.460833333333333</x:v>
      </x:c>
      <x:c r="G12" t="n">
        <x:f>SUM(H6:H12)</x:f>
        <x:v>181977.14862916665</x:v>
      </x:c>
      <x:c r="H12" t="n">
        <x:f>D12*E12/30</x:f>
        <x:v>29302.29416666667</x:v>
      </x:c>
    </x:row>
    <x:row r="13">
      <x:c r="A13" t="n">
        <x:v>8</x:v>
      </x:c>
      <x:c r="B13" t="n">
        <x:v>344005.7</x:v>
      </x:c>
      <x:c r="C13" t="n">
        <x:v>4410.09</x:v>
      </x:c>
      <x:c r="D13" t="n">
        <x:f>B13+C13</x:f>
        <x:v>348415.79000000004</x:v>
      </x:c>
      <x:c r="E13" t="n">
        <x:v>2.5</x:v>
      </x:c>
      <x:c r="F13" t="n">
        <x:f>SUM(E6:E13)</x:f>
        <x:v>19.960833333333333</x:v>
      </x:c>
      <x:c r="G13" t="n">
        <x:f>SUM(H6:H13)</x:f>
        <x:v>211011.79779583332</x:v>
      </x:c>
      <x:c r="H13" t="n">
        <x:f>D13*E13/30</x:f>
        <x:v>29034.64916666667</x:v>
      </x:c>
    </x:row>
    <x:row r="14">
      <x:c r="A14" t="n">
        <x:v>9</x:v>
      </x:c>
      <x:c r="B14" t="n">
        <x:v>349434.6</x:v>
      </x:c>
      <x:c r="C14" t="n">
        <x:v>0</x:v>
      </x:c>
      <x:c r="D14" t="n">
        <x:f>B14+C14</x:f>
        <x:v>349434.6</x:v>
      </x:c>
      <x:c r="E14" t="n">
        <x:v>2.496666666666667</x:v>
      </x:c>
      <x:c r="F14" t="n">
        <x:f>SUM(E6:E14)</x:f>
        <x:v>22.4575</x:v>
      </x:c>
      <x:c r="G14" t="n">
        <x:f>SUM(H6:H14)</x:f>
        <x:v>240092.52172916665</x:v>
      </x:c>
      <x:c r="H14" t="n">
        <x:f>D14*E14/30</x:f>
        <x:v>29080.72393333334</x:v>
      </x:c>
    </x:row>
    <x:row r="15">
      <x:c r="A15" t="n">
        <x:v>10</x:v>
      </x:c>
      <x:c r="B15" t="n">
        <x:v>348481.23</x:v>
      </x:c>
      <x:c r="C15" t="n">
        <x:v>4715</x:v>
      </x:c>
      <x:c r="D15" t="n">
        <x:f>B15+C15</x:f>
        <x:v>353196.23</x:v>
      </x:c>
      <x:c r="E15" t="n">
        <x:v>2.5</x:v>
      </x:c>
      <x:c r="F15" t="n">
        <x:f>SUM(E6:E15)</x:f>
        <x:v>24.9575</x:v>
      </x:c>
      <x:c r="G15" t="n">
        <x:f>SUM(H6:H15)</x:f>
        <x:v>269525.5408958333</x:v>
      </x:c>
      <x:c r="H15" t="n">
        <x:f>D15*E15/30</x:f>
        <x:v>29433.019166666665</x:v>
      </x:c>
    </x:row>
    <x:row r="16">
      <x:c r="A16" t="n">
        <x:v>11</x:v>
      </x:c>
      <x:c r="B16" t="n">
        <x:v>304941.79</x:v>
      </x:c>
      <x:c r="C16" t="n">
        <x:v>26.25</x:v>
      </x:c>
      <x:c r="D16" t="n">
        <x:f>B16+C16</x:f>
        <x:v>304968.04</x:v>
      </x:c>
      <x:c r="E16" t="n">
        <x:v>2.5</x:v>
      </x:c>
      <x:c r="F16" t="n">
        <x:f>SUM(E6:E16)</x:f>
        <x:v>27.4575</x:v>
      </x:c>
      <x:c r="G16" t="n">
        <x:f>SUM(H6:H16)</x:f>
        <x:v>294939.54422916664</x:v>
      </x:c>
      <x:c r="H16" t="n">
        <x:f>D16*E16/30</x:f>
        <x:v>25414.003333333334</x:v>
      </x:c>
    </x:row>
    <x:row r="17">
      <x:c r="A17" t="n">
        <x:v>12</x:v>
      </x:c>
      <x:c r="B17" t="n">
        <x:v>353467.808</x:v>
      </x:c>
      <x:c r="C17" t="n">
        <x:v>0</x:v>
      </x:c>
      <x:c r="D17" t="n">
        <x:f>B17+C17</x:f>
        <x:v>353467.808</x:v>
      </x:c>
      <x:c r="E17" t="n">
        <x:v>2.4991666666666665</x:v>
      </x:c>
      <x:c r="F17" t="n">
        <x:f>SUM(E6:E17)</x:f>
        <x:v>29.956666666666667</x:v>
      </x:c>
      <x:c r="G17" t="n">
        <x:f>SUM(H6:H17)</x:f>
        <x:v>324385.37634561106</x:v>
      </x:c>
      <x:c r="H17" t="n">
        <x:f>D17*E17/30</x:f>
        <x:v>29445.832116444442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230" hidden="0" customWidth="1"/>
  </x:cols>
  <x:sheetData>
    <x:row r="1">
      <x:c r="A1" t="str">
        <x:v>Scénario fictif — reprise consommée en priorité, puis acquisitions FIFO</x:v>
      </x:c>
    </x:row>
    <x:row r="2">
      <x:c r="A2" t="str">
        <x:v>Hypothèse DAF à confirmer : les valeurs de lot restent historiques à la prise.</x:v>
      </x:c>
    </x:row>
    <x:row r="4">
      <x:c r="A4" s="3" t="str">
        <x:v>Événement</x:v>
      </x:c>
      <x:c r="B4" s="3" t="str">
        <x:v>Date</x:v>
      </x:c>
      <x:c r="C4" s="3" t="str">
        <x:v>Jours crédit</x:v>
      </x:c>
      <x:c r="D4" s="3" t="str">
        <x:v>Valeur crédit</x:v>
      </x:c>
      <x:c r="E4" s="3" t="str">
        <x:v>Jours pris</x:v>
      </x:c>
      <x:c r="F4" s="3" t="str">
        <x:v>Valeur prise</x:v>
      </x:c>
      <x:c r="G4" s="3" t="str">
        <x:v>Taux lot</x:v>
      </x:c>
      <x:c r="H4" s="3" t="str">
        <x:v>Solde jours</x:v>
      </x:c>
      <x:c r="I4" s="3" t="str">
        <x:v>Valeur stock</x:v>
      </x:c>
    </x:row>
    <x:row r="5">
      <x:c r="A5" t="str">
        <x:v>Reprise cutover</x:v>
      </x:c>
      <x:c r="B5" t="str">
        <x:v>2026-01-01</x:v>
      </x:c>
      <x:c r="C5" t="n">
        <x:v>1</x:v>
      </x:c>
      <x:c r="D5" t="n">
        <x:v>9000</x:v>
      </x:c>
      <x:c r="E5" t="n">
        <x:v>0</x:v>
      </x:c>
      <x:c r="F5" t="n">
        <x:v>0</x:v>
      </x:c>
      <x:c r="G5" t="n">
        <x:v>9000</x:v>
      </x:c>
      <x:c r="H5" t="n">
        <x:f>C5-E5</x:f>
        <x:v>1</x:v>
      </x:c>
      <x:c r="I5" t="n">
        <x:f>D5-F5</x:f>
        <x:v>9000</x:v>
      </x:c>
    </x:row>
    <x:row r="6">
      <x:c r="A6" t="str">
        <x:v>Acquisition janvier</x:v>
      </x:c>
      <x:c r="B6" t="str">
        <x:v>2026-01-28</x:v>
      </x:c>
      <x:c r="C6" t="n">
        <x:v>2</x:v>
      </x:c>
      <x:c r="D6" t="n">
        <x:v>20000</x:v>
      </x:c>
      <x:c r="E6" t="n">
        <x:v>0</x:v>
      </x:c>
      <x:c r="F6" t="n">
        <x:v>0</x:v>
      </x:c>
      <x:c r="G6" t="n">
        <x:v>10000</x:v>
      </x:c>
      <x:c r="H6" t="n">
        <x:f>H5+C6-E6</x:f>
        <x:v>3</x:v>
      </x:c>
      <x:c r="I6" t="n">
        <x:f>I5+D6-F6</x:f>
        <x:v>29000</x:v>
      </x:c>
    </x:row>
    <x:row r="7">
      <x:c r="A7" t="str">
        <x:v>Acquisition février</x:v>
      </x:c>
      <x:c r="B7" t="str">
        <x:v>2026-02-28</x:v>
      </x:c>
      <x:c r="C7" t="n">
        <x:v>2</x:v>
      </x:c>
      <x:c r="D7" t="n">
        <x:v>24000</x:v>
      </x:c>
      <x:c r="E7" t="n">
        <x:v>0</x:v>
      </x:c>
      <x:c r="F7" t="n">
        <x:v>0</x:v>
      </x:c>
      <x:c r="G7" t="n">
        <x:v>12000</x:v>
      </x:c>
      <x:c r="H7" t="n">
        <x:f>H6+C7-E7</x:f>
        <x:v>5</x:v>
      </x:c>
      <x:c r="I7" t="n">
        <x:f>I6+D7-F7</x:f>
        <x:v>53000</x:v>
      </x:c>
    </x:row>
    <x:row r="8">
      <x:c r="A8" t="str">
        <x:v>Prise : 1 reprise + 2 janvier + 1 février</x:v>
      </x:c>
      <x:c r="B8" t="str">
        <x:v>2026-03-01</x:v>
      </x:c>
      <x:c r="C8" t="n">
        <x:v>0</x:v>
      </x:c>
      <x:c r="D8" t="n">
        <x:v>0</x:v>
      </x:c>
      <x:c r="E8" t="n">
        <x:v>4</x:v>
      </x:c>
      <x:c r="F8" t="n">
        <x:v>41000</x:v>
      </x:c>
      <x:c r="G8" t="n">
        <x:v>0</x:v>
      </x:c>
      <x:c r="H8" t="n">
        <x:f>H7+C8-E8</x:f>
        <x:v>1</x:v>
      </x:c>
      <x:c r="I8" t="n">
        <x:f>I7+D8-F8</x:f>
        <x:v>12000</x:v>
      </x:c>
    </x:row>
    <x:row r="9">
      <x:c r="A9" t="str">
        <x:v>Correction reliquat après prise</x:v>
      </x:c>
      <x:c r="B9" t="str">
        <x:v>2026-03-02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f>H8+C9-E9</x:f>
        <x:v>1</x:v>
      </x:c>
      <x:c r="I9" t="n">
        <x:f>I8+D9-F9</x:f>
        <x:v>12000</x:v>
      </x:c>
    </x:row>
    <x:row r="11">
      <x:c r="A11" t="str">
        <x:v>Contrôle indépendant : 1 × 9 000 + 2 × 10 000 + 1 × 12 000 = 41 000 Ar.</x:v>
      </x:c>
    </x:row>
    <x:row r="12">
      <x:c r="A12" t="str">
        <x:v>La correction tardive du reliquat ne corrige pas automatiquement un bulletin déjà payé.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0" hidden="0" customWidth="1"/>
    <x:col min="2" max="2" width="255" hidden="0" customWidth="1"/>
  </x:cols>
  <x:sheetData>
    <x:row r="3">
      <x:c r="A3" s="3" t="str">
        <x:v>Sujet</x:v>
      </x:c>
      <x:c r="B3" s="3" t="str">
        <x:v>Constat / décision à obtenir</x:v>
      </x:c>
    </x:row>
    <x:row r="4">
      <x:c r="A4" t="str">
        <x:v>Base légale</x:v>
      </x:c>
      <x:c r="B4" t="str">
        <x:v>Code du travail 2024 art. 125–127, 129–133 ; document interne cite à tort art. 90 pour les congés.</x:v>
      </x:c>
    </x:row>
    <x:row r="5">
      <x:c r="A5" t="str">
        <x:v>Paie à la prise</x:v>
      </x:c>
      <x:c r="B5" t="str">
        <x:v>Art. 131 : vérifier l’allocation sur les 12 mois précédant le départ ; le taux historique du lot ne suffit pas à prouver ce minimum.</x:v>
      </x:c>
    </x:row>
    <x:row r="6">
      <x:c r="A6" t="str">
        <x:v>Canevas DAF</x:v>
      </x:c>
      <x:c r="B6" t="str">
        <x:v>Feuille1 ligne 6 : 10 000 Ar d’absence alors que NBABS = 0. Définir le sens de cette colonne.</x:v>
      </x:c>
    </x:row>
    <x:row r="7">
      <x:c r="A7" t="str">
        <x:v>Canevas DAF</x:v>
      </x:c>
      <x:c r="B7" t="str">
        <x:v>Feuille1 ligne 13 : 15 jours de congé et acquisition 2,5 j, cohérent si le congé est service effectif.</x:v>
      </x:c>
    </x:row>
    <x:row r="8">
      <x:c r="A8" t="str">
        <x:v>Cutover</x:v>
      </x:c>
      <x:c r="B8" t="str">
        <x:v>Figer date, jours restants, valeur, acquisition du mois incluse, source et validation DAF.</x:v>
      </x:c>
    </x:row>
    <x:row r="9">
      <x:c r="A9" t="str">
        <x:v>Correction</x:v>
      </x:c>
      <x:c r="B9" t="str">
        <x:v>Séparer correction du stock futur et régularisation de paie passée, rapprochée aux bulletins.</x:v>
      </x:c>
    </x:row>
    <x:row r="10">
      <x:c r="A10" t="str">
        <x:v>Pointage</x:v>
      </x:c>
      <x:c r="B10" t="str">
        <x:v>Rapprocher les jours d’absence et de congé du journal de paie avant calcul de l’assiette.</x:v>
      </x:c>
    </x:row>
  </x:sheetData>
  <x:pageMargins left="0.7" right="0.7" top="0.75" bottom="0.75" header="0.3" footer="0.3"/>
</x:worksheet>
</file>